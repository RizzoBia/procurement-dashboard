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https://viridismining.sharepoint.com/sites/Viridis-MiningandMinerals/Documentos Compartilhados/Procurement &amp; Logistics/2. Controls/"/>
    </mc:Choice>
  </mc:AlternateContent>
  <xr:revisionPtr revIDLastSave="2203" documentId="8_{6D5B16D9-1BD0-44B5-8ED2-6F0CDE318513}" xr6:coauthVersionLast="47" xr6:coauthVersionMax="47" xr10:uidLastSave="{BD59D3C2-5D76-4C91-AAFC-76F93B3AF351}"/>
  <bookViews>
    <workbookView xWindow="-110" yWindow="-110" windowWidth="19420" windowHeight="11500" xr2:uid="{00000000-000D-0000-FFFF-FFFF00000000}"/>
  </bookViews>
  <sheets>
    <sheet name="Controle PCs" sheetId="1" r:id="rId1"/>
    <sheet name="Controle RCs" sheetId="7" r:id="rId2"/>
    <sheet name="Gestão de Contratos" sheetId="8" r:id="rId3"/>
    <sheet name="Cadastro Fornecedores" sheetId="9" r:id="rId4"/>
    <sheet name="RCs" sheetId="10" r:id="rId5"/>
    <sheet name="Evolução RCs" sheetId="11" r:id="rId6"/>
    <sheet name="Planilha1" sheetId="2" state="hidden" r:id="rId7"/>
    <sheet name="SLA_Ref" sheetId="6" state="hidden" r:id="rId8"/>
  </sheets>
  <definedNames>
    <definedName name="_xlnm._FilterDatabase" localSheetId="3" hidden="1">'Cadastro Fornecedores'!$A$1:$O$183</definedName>
    <definedName name="_xlnm._FilterDatabase" localSheetId="0" hidden="1">'Controle PCs'!$C$1422:$C$1422</definedName>
    <definedName name="_xlnm._FilterDatabase" localSheetId="4" hidden="1">RCs!$A$1:$F$21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1" i="1" l="1"/>
  <c r="J101" i="1"/>
  <c r="K101" i="1"/>
  <c r="P101" i="1"/>
  <c r="Q101" i="1"/>
  <c r="C101" i="1"/>
  <c r="I89" i="1"/>
  <c r="I90" i="1"/>
  <c r="C89" i="1"/>
  <c r="J89" i="1"/>
  <c r="K89" i="1"/>
  <c r="P89" i="1"/>
  <c r="Q89" i="1"/>
  <c r="Q1398" i="1"/>
  <c r="P1398" i="1"/>
  <c r="J1398" i="1"/>
  <c r="C1398" i="1"/>
  <c r="K1398" i="1" s="1"/>
  <c r="D4" i="11"/>
  <c r="D3" i="11"/>
  <c r="D2" i="11"/>
  <c r="M82" i="1"/>
  <c r="D24" i="7"/>
  <c r="M74" i="1"/>
  <c r="I73" i="1"/>
  <c r="J73" i="1" s="1"/>
  <c r="C73" i="1"/>
  <c r="N72" i="1"/>
  <c r="M72" i="1"/>
  <c r="N70" i="1"/>
  <c r="M70" i="1"/>
  <c r="M63" i="1"/>
  <c r="Q63" i="1" s="1"/>
  <c r="M64" i="1"/>
  <c r="N64" i="1"/>
  <c r="M62" i="1"/>
  <c r="M32" i="1"/>
  <c r="C45" i="1"/>
  <c r="M34" i="1"/>
  <c r="N15" i="1"/>
  <c r="M15" i="1"/>
  <c r="N4" i="1"/>
  <c r="M4" i="1"/>
  <c r="J102" i="1" l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I5" i="1"/>
  <c r="I9" i="1"/>
  <c r="J9" i="1" s="1"/>
  <c r="I7" i="1"/>
  <c r="J7" i="1" s="1"/>
  <c r="I10" i="1"/>
  <c r="J10" i="1" s="1"/>
  <c r="I8" i="1"/>
  <c r="J8" i="1" s="1"/>
  <c r="J11" i="1"/>
  <c r="I12" i="1"/>
  <c r="J12" i="1" s="1"/>
  <c r="I4" i="1"/>
  <c r="J4" i="1" s="1"/>
  <c r="I30" i="1"/>
  <c r="J30" i="1" s="1"/>
  <c r="I29" i="1"/>
  <c r="J29" i="1" s="1"/>
  <c r="I28" i="1"/>
  <c r="J28" i="1" s="1"/>
  <c r="I13" i="1"/>
  <c r="J13" i="1" s="1"/>
  <c r="I15" i="1"/>
  <c r="J15" i="1" s="1"/>
  <c r="I17" i="1"/>
  <c r="J17" i="1" s="1"/>
  <c r="I18" i="1"/>
  <c r="J18" i="1" s="1"/>
  <c r="I16" i="1"/>
  <c r="J16" i="1" s="1"/>
  <c r="I19" i="1"/>
  <c r="J19" i="1" s="1"/>
  <c r="I20" i="1"/>
  <c r="J20" i="1" s="1"/>
  <c r="I24" i="1"/>
  <c r="J24" i="1" s="1"/>
  <c r="I25" i="1"/>
  <c r="J25" i="1" s="1"/>
  <c r="I31" i="1"/>
  <c r="J31" i="1" s="1"/>
  <c r="I26" i="1"/>
  <c r="J26" i="1" s="1"/>
  <c r="I2" i="1"/>
  <c r="J2" i="1" s="1"/>
  <c r="I3" i="1"/>
  <c r="J3" i="1" s="1"/>
  <c r="I21" i="1"/>
  <c r="J21" i="1" s="1"/>
  <c r="I34" i="1"/>
  <c r="J34" i="1" s="1"/>
  <c r="I33" i="1"/>
  <c r="J33" i="1" s="1"/>
  <c r="I35" i="1"/>
  <c r="J35" i="1" s="1"/>
  <c r="I38" i="1"/>
  <c r="J38" i="1" s="1"/>
  <c r="I39" i="1"/>
  <c r="J39" i="1" s="1"/>
  <c r="I32" i="1"/>
  <c r="J32" i="1" s="1"/>
  <c r="I40" i="1"/>
  <c r="J40" i="1" s="1"/>
  <c r="I42" i="1"/>
  <c r="J42" i="1" s="1"/>
  <c r="I43" i="1"/>
  <c r="J43" i="1" s="1"/>
  <c r="I45" i="1"/>
  <c r="J45" i="1" s="1"/>
  <c r="I22" i="1"/>
  <c r="J22" i="1" s="1"/>
  <c r="I23" i="1"/>
  <c r="J23" i="1" s="1"/>
  <c r="I27" i="1"/>
  <c r="J27" i="1" s="1"/>
  <c r="I36" i="1"/>
  <c r="J36" i="1" s="1"/>
  <c r="I37" i="1"/>
  <c r="J37" i="1" s="1"/>
  <c r="I41" i="1"/>
  <c r="I44" i="1"/>
  <c r="J44" i="1" s="1"/>
  <c r="I14" i="1"/>
  <c r="J14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I53" i="1"/>
  <c r="J53" i="1" s="1"/>
  <c r="I54" i="1"/>
  <c r="J54" i="1" s="1"/>
  <c r="I55" i="1"/>
  <c r="J55" i="1" s="1"/>
  <c r="I56" i="1"/>
  <c r="J56" i="1" s="1"/>
  <c r="I57" i="1"/>
  <c r="J57" i="1" s="1"/>
  <c r="I58" i="1"/>
  <c r="J58" i="1" s="1"/>
  <c r="I59" i="1"/>
  <c r="J59" i="1" s="1"/>
  <c r="I60" i="1"/>
  <c r="J60" i="1" s="1"/>
  <c r="I61" i="1"/>
  <c r="J61" i="1" s="1"/>
  <c r="I62" i="1"/>
  <c r="J62" i="1" s="1"/>
  <c r="I63" i="1"/>
  <c r="J63" i="1" s="1"/>
  <c r="I64" i="1"/>
  <c r="J64" i="1" s="1"/>
  <c r="I65" i="1"/>
  <c r="J65" i="1" s="1"/>
  <c r="I66" i="1"/>
  <c r="J66" i="1" s="1"/>
  <c r="I67" i="1"/>
  <c r="J67" i="1" s="1"/>
  <c r="I68" i="1"/>
  <c r="J68" i="1" s="1"/>
  <c r="I69" i="1"/>
  <c r="J69" i="1" s="1"/>
  <c r="I70" i="1"/>
  <c r="J70" i="1" s="1"/>
  <c r="I71" i="1"/>
  <c r="J71" i="1" s="1"/>
  <c r="I72" i="1"/>
  <c r="J72" i="1" s="1"/>
  <c r="I74" i="1"/>
  <c r="J74" i="1" s="1"/>
  <c r="I75" i="1"/>
  <c r="J75" i="1" s="1"/>
  <c r="I76" i="1"/>
  <c r="J76" i="1" s="1"/>
  <c r="I80" i="1"/>
  <c r="J80" i="1" s="1"/>
  <c r="I81" i="1"/>
  <c r="J81" i="1" s="1"/>
  <c r="I77" i="1"/>
  <c r="J77" i="1" s="1"/>
  <c r="I78" i="1"/>
  <c r="J78" i="1" s="1"/>
  <c r="I79" i="1"/>
  <c r="J79" i="1" s="1"/>
  <c r="I82" i="1"/>
  <c r="J82" i="1" s="1"/>
  <c r="I83" i="1"/>
  <c r="J83" i="1" s="1"/>
  <c r="I84" i="1"/>
  <c r="J84" i="1" s="1"/>
  <c r="I85" i="1"/>
  <c r="J85" i="1" s="1"/>
  <c r="I86" i="1"/>
  <c r="J86" i="1" s="1"/>
  <c r="I87" i="1"/>
  <c r="J87" i="1" s="1"/>
  <c r="I88" i="1"/>
  <c r="J88" i="1" s="1"/>
  <c r="J90" i="1"/>
  <c r="I91" i="1"/>
  <c r="J91" i="1" s="1"/>
  <c r="I92" i="1"/>
  <c r="J92" i="1" s="1"/>
  <c r="I93" i="1"/>
  <c r="J93" i="1" s="1"/>
  <c r="I94" i="1"/>
  <c r="J94" i="1" s="1"/>
  <c r="I95" i="1"/>
  <c r="J95" i="1" s="1"/>
  <c r="I96" i="1"/>
  <c r="J96" i="1" s="1"/>
  <c r="I97" i="1"/>
  <c r="J97" i="1" s="1"/>
  <c r="I98" i="1"/>
  <c r="J98" i="1" s="1"/>
  <c r="I99" i="1"/>
  <c r="J99" i="1" s="1"/>
  <c r="I100" i="1"/>
  <c r="J100" i="1" s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P6" i="1"/>
  <c r="C494" i="1"/>
  <c r="K494" i="1" s="1"/>
  <c r="C495" i="1"/>
  <c r="K495" i="1" s="1"/>
  <c r="C496" i="1"/>
  <c r="K496" i="1" s="1"/>
  <c r="C497" i="1"/>
  <c r="K497" i="1" s="1"/>
  <c r="C498" i="1"/>
  <c r="K498" i="1" s="1"/>
  <c r="C499" i="1"/>
  <c r="K499" i="1" s="1"/>
  <c r="C500" i="1"/>
  <c r="K500" i="1" s="1"/>
  <c r="C501" i="1"/>
  <c r="K501" i="1" s="1"/>
  <c r="C502" i="1"/>
  <c r="K502" i="1" s="1"/>
  <c r="C503" i="1"/>
  <c r="K503" i="1" s="1"/>
  <c r="C504" i="1"/>
  <c r="K504" i="1" s="1"/>
  <c r="C505" i="1"/>
  <c r="K505" i="1" s="1"/>
  <c r="C506" i="1"/>
  <c r="K506" i="1" s="1"/>
  <c r="C507" i="1"/>
  <c r="K507" i="1" s="1"/>
  <c r="C508" i="1"/>
  <c r="K508" i="1" s="1"/>
  <c r="C509" i="1"/>
  <c r="K509" i="1" s="1"/>
  <c r="C510" i="1"/>
  <c r="K510" i="1" s="1"/>
  <c r="C511" i="1"/>
  <c r="K511" i="1" s="1"/>
  <c r="C512" i="1"/>
  <c r="K512" i="1" s="1"/>
  <c r="C513" i="1"/>
  <c r="K513" i="1" s="1"/>
  <c r="C514" i="1"/>
  <c r="K514" i="1" s="1"/>
  <c r="C515" i="1"/>
  <c r="K515" i="1" s="1"/>
  <c r="C516" i="1"/>
  <c r="K516" i="1" s="1"/>
  <c r="C517" i="1"/>
  <c r="K517" i="1" s="1"/>
  <c r="C518" i="1"/>
  <c r="K518" i="1" s="1"/>
  <c r="C519" i="1"/>
  <c r="K519" i="1" s="1"/>
  <c r="C520" i="1"/>
  <c r="K520" i="1" s="1"/>
  <c r="C521" i="1"/>
  <c r="K521" i="1" s="1"/>
  <c r="C522" i="1"/>
  <c r="K522" i="1" s="1"/>
  <c r="C523" i="1"/>
  <c r="K523" i="1" s="1"/>
  <c r="C524" i="1"/>
  <c r="K524" i="1" s="1"/>
  <c r="C525" i="1"/>
  <c r="K525" i="1" s="1"/>
  <c r="C526" i="1"/>
  <c r="K526" i="1" s="1"/>
  <c r="C527" i="1"/>
  <c r="K527" i="1" s="1"/>
  <c r="C528" i="1"/>
  <c r="K528" i="1" s="1"/>
  <c r="C529" i="1"/>
  <c r="K529" i="1" s="1"/>
  <c r="C530" i="1"/>
  <c r="K530" i="1" s="1"/>
  <c r="C531" i="1"/>
  <c r="K531" i="1" s="1"/>
  <c r="C532" i="1"/>
  <c r="K532" i="1" s="1"/>
  <c r="C533" i="1"/>
  <c r="K533" i="1" s="1"/>
  <c r="C534" i="1"/>
  <c r="K534" i="1" s="1"/>
  <c r="C535" i="1"/>
  <c r="K535" i="1" s="1"/>
  <c r="C536" i="1"/>
  <c r="K536" i="1" s="1"/>
  <c r="C537" i="1"/>
  <c r="K537" i="1" s="1"/>
  <c r="C538" i="1"/>
  <c r="K538" i="1" s="1"/>
  <c r="C539" i="1"/>
  <c r="K539" i="1" s="1"/>
  <c r="C540" i="1"/>
  <c r="K540" i="1" s="1"/>
  <c r="C541" i="1"/>
  <c r="K541" i="1" s="1"/>
  <c r="C542" i="1"/>
  <c r="K542" i="1" s="1"/>
  <c r="C543" i="1"/>
  <c r="K543" i="1" s="1"/>
  <c r="C544" i="1"/>
  <c r="K544" i="1" s="1"/>
  <c r="C545" i="1"/>
  <c r="K545" i="1" s="1"/>
  <c r="C546" i="1"/>
  <c r="K546" i="1" s="1"/>
  <c r="C547" i="1"/>
  <c r="K547" i="1" s="1"/>
  <c r="C548" i="1"/>
  <c r="K548" i="1" s="1"/>
  <c r="C549" i="1"/>
  <c r="K549" i="1" s="1"/>
  <c r="C550" i="1"/>
  <c r="K550" i="1" s="1"/>
  <c r="C551" i="1"/>
  <c r="K551" i="1" s="1"/>
  <c r="C552" i="1"/>
  <c r="K552" i="1" s="1"/>
  <c r="C553" i="1"/>
  <c r="K553" i="1" s="1"/>
  <c r="C554" i="1"/>
  <c r="K554" i="1" s="1"/>
  <c r="C555" i="1"/>
  <c r="K555" i="1" s="1"/>
  <c r="C556" i="1"/>
  <c r="K556" i="1" s="1"/>
  <c r="C557" i="1"/>
  <c r="K557" i="1" s="1"/>
  <c r="C558" i="1"/>
  <c r="K558" i="1" s="1"/>
  <c r="C559" i="1"/>
  <c r="K559" i="1" s="1"/>
  <c r="C560" i="1"/>
  <c r="K560" i="1" s="1"/>
  <c r="C561" i="1"/>
  <c r="K561" i="1" s="1"/>
  <c r="C562" i="1"/>
  <c r="K562" i="1" s="1"/>
  <c r="C563" i="1"/>
  <c r="K563" i="1" s="1"/>
  <c r="C564" i="1"/>
  <c r="K564" i="1" s="1"/>
  <c r="C565" i="1"/>
  <c r="K565" i="1" s="1"/>
  <c r="C566" i="1"/>
  <c r="K566" i="1" s="1"/>
  <c r="C567" i="1"/>
  <c r="K567" i="1" s="1"/>
  <c r="C568" i="1"/>
  <c r="K568" i="1" s="1"/>
  <c r="C569" i="1"/>
  <c r="K569" i="1" s="1"/>
  <c r="C570" i="1"/>
  <c r="K570" i="1" s="1"/>
  <c r="C571" i="1"/>
  <c r="K571" i="1" s="1"/>
  <c r="C572" i="1"/>
  <c r="K572" i="1" s="1"/>
  <c r="C573" i="1"/>
  <c r="K573" i="1" s="1"/>
  <c r="C574" i="1"/>
  <c r="K574" i="1" s="1"/>
  <c r="C575" i="1"/>
  <c r="K575" i="1" s="1"/>
  <c r="C576" i="1"/>
  <c r="K576" i="1" s="1"/>
  <c r="C577" i="1"/>
  <c r="K577" i="1" s="1"/>
  <c r="C578" i="1"/>
  <c r="K578" i="1" s="1"/>
  <c r="C579" i="1"/>
  <c r="K579" i="1" s="1"/>
  <c r="C580" i="1"/>
  <c r="K580" i="1" s="1"/>
  <c r="C581" i="1"/>
  <c r="K581" i="1" s="1"/>
  <c r="C582" i="1"/>
  <c r="K582" i="1" s="1"/>
  <c r="C583" i="1"/>
  <c r="K583" i="1" s="1"/>
  <c r="C584" i="1"/>
  <c r="K584" i="1" s="1"/>
  <c r="C585" i="1"/>
  <c r="K585" i="1" s="1"/>
  <c r="C586" i="1"/>
  <c r="K586" i="1" s="1"/>
  <c r="C587" i="1"/>
  <c r="K587" i="1" s="1"/>
  <c r="C588" i="1"/>
  <c r="K588" i="1" s="1"/>
  <c r="C589" i="1"/>
  <c r="K589" i="1" s="1"/>
  <c r="C590" i="1"/>
  <c r="K590" i="1" s="1"/>
  <c r="C591" i="1"/>
  <c r="K591" i="1" s="1"/>
  <c r="C592" i="1"/>
  <c r="K592" i="1" s="1"/>
  <c r="C593" i="1"/>
  <c r="K593" i="1" s="1"/>
  <c r="C594" i="1"/>
  <c r="K594" i="1" s="1"/>
  <c r="C595" i="1"/>
  <c r="K595" i="1" s="1"/>
  <c r="C596" i="1"/>
  <c r="K596" i="1" s="1"/>
  <c r="C597" i="1"/>
  <c r="K597" i="1" s="1"/>
  <c r="C598" i="1"/>
  <c r="K598" i="1" s="1"/>
  <c r="C599" i="1"/>
  <c r="K599" i="1" s="1"/>
  <c r="C600" i="1"/>
  <c r="K600" i="1" s="1"/>
  <c r="C601" i="1"/>
  <c r="K601" i="1" s="1"/>
  <c r="C602" i="1"/>
  <c r="K602" i="1" s="1"/>
  <c r="C603" i="1"/>
  <c r="K603" i="1" s="1"/>
  <c r="C604" i="1"/>
  <c r="K604" i="1" s="1"/>
  <c r="C605" i="1"/>
  <c r="K605" i="1" s="1"/>
  <c r="C606" i="1"/>
  <c r="K606" i="1" s="1"/>
  <c r="C607" i="1"/>
  <c r="K607" i="1" s="1"/>
  <c r="C608" i="1"/>
  <c r="K608" i="1" s="1"/>
  <c r="C609" i="1"/>
  <c r="K609" i="1" s="1"/>
  <c r="C610" i="1"/>
  <c r="K610" i="1" s="1"/>
  <c r="C611" i="1"/>
  <c r="K611" i="1" s="1"/>
  <c r="C612" i="1"/>
  <c r="K612" i="1" s="1"/>
  <c r="C613" i="1"/>
  <c r="K613" i="1" s="1"/>
  <c r="C614" i="1"/>
  <c r="K614" i="1" s="1"/>
  <c r="C615" i="1"/>
  <c r="K615" i="1" s="1"/>
  <c r="C616" i="1"/>
  <c r="K616" i="1" s="1"/>
  <c r="C617" i="1"/>
  <c r="K617" i="1" s="1"/>
  <c r="C618" i="1"/>
  <c r="K618" i="1" s="1"/>
  <c r="C619" i="1"/>
  <c r="K619" i="1" s="1"/>
  <c r="C620" i="1"/>
  <c r="K620" i="1" s="1"/>
  <c r="C621" i="1"/>
  <c r="K621" i="1" s="1"/>
  <c r="C622" i="1"/>
  <c r="K622" i="1" s="1"/>
  <c r="C623" i="1"/>
  <c r="K623" i="1" s="1"/>
  <c r="C624" i="1"/>
  <c r="K624" i="1" s="1"/>
  <c r="C625" i="1"/>
  <c r="K625" i="1" s="1"/>
  <c r="C626" i="1"/>
  <c r="K626" i="1" s="1"/>
  <c r="C627" i="1"/>
  <c r="K627" i="1" s="1"/>
  <c r="C628" i="1"/>
  <c r="K628" i="1" s="1"/>
  <c r="C629" i="1"/>
  <c r="K629" i="1" s="1"/>
  <c r="C630" i="1"/>
  <c r="K630" i="1" s="1"/>
  <c r="C631" i="1"/>
  <c r="K631" i="1" s="1"/>
  <c r="C632" i="1"/>
  <c r="K632" i="1" s="1"/>
  <c r="C633" i="1"/>
  <c r="K633" i="1" s="1"/>
  <c r="C634" i="1"/>
  <c r="K634" i="1" s="1"/>
  <c r="C635" i="1"/>
  <c r="K635" i="1" s="1"/>
  <c r="C636" i="1"/>
  <c r="K636" i="1" s="1"/>
  <c r="C637" i="1"/>
  <c r="K637" i="1" s="1"/>
  <c r="C638" i="1"/>
  <c r="K638" i="1" s="1"/>
  <c r="C639" i="1"/>
  <c r="K639" i="1" s="1"/>
  <c r="C640" i="1"/>
  <c r="K640" i="1" s="1"/>
  <c r="C641" i="1"/>
  <c r="K641" i="1" s="1"/>
  <c r="C642" i="1"/>
  <c r="K642" i="1" s="1"/>
  <c r="C643" i="1"/>
  <c r="K643" i="1" s="1"/>
  <c r="C644" i="1"/>
  <c r="K644" i="1" s="1"/>
  <c r="C645" i="1"/>
  <c r="K645" i="1" s="1"/>
  <c r="C646" i="1"/>
  <c r="K646" i="1" s="1"/>
  <c r="C647" i="1"/>
  <c r="K647" i="1" s="1"/>
  <c r="C648" i="1"/>
  <c r="K648" i="1" s="1"/>
  <c r="C649" i="1"/>
  <c r="K649" i="1" s="1"/>
  <c r="C650" i="1"/>
  <c r="K650" i="1" s="1"/>
  <c r="C651" i="1"/>
  <c r="K651" i="1" s="1"/>
  <c r="C652" i="1"/>
  <c r="K652" i="1" s="1"/>
  <c r="C653" i="1"/>
  <c r="K653" i="1" s="1"/>
  <c r="C654" i="1"/>
  <c r="K654" i="1" s="1"/>
  <c r="C655" i="1"/>
  <c r="K655" i="1" s="1"/>
  <c r="C656" i="1"/>
  <c r="K656" i="1" s="1"/>
  <c r="C657" i="1"/>
  <c r="K657" i="1" s="1"/>
  <c r="C658" i="1"/>
  <c r="K658" i="1" s="1"/>
  <c r="C659" i="1"/>
  <c r="K659" i="1" s="1"/>
  <c r="C660" i="1"/>
  <c r="K660" i="1" s="1"/>
  <c r="C661" i="1"/>
  <c r="K661" i="1" s="1"/>
  <c r="C662" i="1"/>
  <c r="K662" i="1" s="1"/>
  <c r="C663" i="1"/>
  <c r="K663" i="1" s="1"/>
  <c r="C664" i="1"/>
  <c r="K664" i="1" s="1"/>
  <c r="C665" i="1"/>
  <c r="K665" i="1" s="1"/>
  <c r="C666" i="1"/>
  <c r="K666" i="1" s="1"/>
  <c r="C667" i="1"/>
  <c r="K667" i="1" s="1"/>
  <c r="C668" i="1"/>
  <c r="K668" i="1" s="1"/>
  <c r="C669" i="1"/>
  <c r="K669" i="1" s="1"/>
  <c r="C670" i="1"/>
  <c r="K670" i="1" s="1"/>
  <c r="C671" i="1"/>
  <c r="K671" i="1" s="1"/>
  <c r="C672" i="1"/>
  <c r="K672" i="1" s="1"/>
  <c r="C673" i="1"/>
  <c r="K673" i="1" s="1"/>
  <c r="C674" i="1"/>
  <c r="K674" i="1" s="1"/>
  <c r="C675" i="1"/>
  <c r="K675" i="1" s="1"/>
  <c r="C676" i="1"/>
  <c r="K676" i="1" s="1"/>
  <c r="C677" i="1"/>
  <c r="K677" i="1" s="1"/>
  <c r="C678" i="1"/>
  <c r="K678" i="1" s="1"/>
  <c r="C679" i="1"/>
  <c r="K679" i="1" s="1"/>
  <c r="C680" i="1"/>
  <c r="K680" i="1" s="1"/>
  <c r="C681" i="1"/>
  <c r="K681" i="1" s="1"/>
  <c r="C682" i="1"/>
  <c r="K682" i="1" s="1"/>
  <c r="C683" i="1"/>
  <c r="K683" i="1" s="1"/>
  <c r="C684" i="1"/>
  <c r="K684" i="1" s="1"/>
  <c r="C685" i="1"/>
  <c r="K685" i="1" s="1"/>
  <c r="C686" i="1"/>
  <c r="K686" i="1" s="1"/>
  <c r="C687" i="1"/>
  <c r="K687" i="1" s="1"/>
  <c r="C688" i="1"/>
  <c r="K688" i="1" s="1"/>
  <c r="C689" i="1"/>
  <c r="K689" i="1" s="1"/>
  <c r="C690" i="1"/>
  <c r="K690" i="1" s="1"/>
  <c r="C691" i="1"/>
  <c r="K691" i="1" s="1"/>
  <c r="C692" i="1"/>
  <c r="K692" i="1" s="1"/>
  <c r="C693" i="1"/>
  <c r="K693" i="1" s="1"/>
  <c r="C694" i="1"/>
  <c r="K694" i="1" s="1"/>
  <c r="C695" i="1"/>
  <c r="K695" i="1" s="1"/>
  <c r="C696" i="1"/>
  <c r="K696" i="1" s="1"/>
  <c r="C697" i="1"/>
  <c r="K697" i="1" s="1"/>
  <c r="C698" i="1"/>
  <c r="K698" i="1" s="1"/>
  <c r="C699" i="1"/>
  <c r="K699" i="1" s="1"/>
  <c r="C700" i="1"/>
  <c r="K700" i="1" s="1"/>
  <c r="C701" i="1"/>
  <c r="K701" i="1" s="1"/>
  <c r="C702" i="1"/>
  <c r="K702" i="1" s="1"/>
  <c r="C703" i="1"/>
  <c r="K703" i="1" s="1"/>
  <c r="C704" i="1"/>
  <c r="K704" i="1" s="1"/>
  <c r="C705" i="1"/>
  <c r="K705" i="1" s="1"/>
  <c r="C706" i="1"/>
  <c r="K706" i="1" s="1"/>
  <c r="C707" i="1"/>
  <c r="K707" i="1" s="1"/>
  <c r="C708" i="1"/>
  <c r="K708" i="1" s="1"/>
  <c r="C709" i="1"/>
  <c r="K709" i="1" s="1"/>
  <c r="C710" i="1"/>
  <c r="K710" i="1" s="1"/>
  <c r="C711" i="1"/>
  <c r="K711" i="1" s="1"/>
  <c r="C712" i="1"/>
  <c r="K712" i="1" s="1"/>
  <c r="C713" i="1"/>
  <c r="K713" i="1" s="1"/>
  <c r="C714" i="1"/>
  <c r="K714" i="1" s="1"/>
  <c r="C715" i="1"/>
  <c r="K715" i="1" s="1"/>
  <c r="C716" i="1"/>
  <c r="K716" i="1" s="1"/>
  <c r="C717" i="1"/>
  <c r="K717" i="1" s="1"/>
  <c r="C718" i="1"/>
  <c r="K718" i="1" s="1"/>
  <c r="C719" i="1"/>
  <c r="K719" i="1" s="1"/>
  <c r="C720" i="1"/>
  <c r="K720" i="1" s="1"/>
  <c r="C721" i="1"/>
  <c r="K721" i="1" s="1"/>
  <c r="C722" i="1"/>
  <c r="K722" i="1" s="1"/>
  <c r="C723" i="1"/>
  <c r="K723" i="1" s="1"/>
  <c r="C724" i="1"/>
  <c r="K724" i="1" s="1"/>
  <c r="C725" i="1"/>
  <c r="K725" i="1" s="1"/>
  <c r="C726" i="1"/>
  <c r="K726" i="1" s="1"/>
  <c r="C727" i="1"/>
  <c r="K727" i="1" s="1"/>
  <c r="C728" i="1"/>
  <c r="K728" i="1" s="1"/>
  <c r="C729" i="1"/>
  <c r="K729" i="1" s="1"/>
  <c r="C730" i="1"/>
  <c r="K730" i="1" s="1"/>
  <c r="C731" i="1"/>
  <c r="K731" i="1" s="1"/>
  <c r="C732" i="1"/>
  <c r="K732" i="1" s="1"/>
  <c r="C733" i="1"/>
  <c r="K733" i="1" s="1"/>
  <c r="C734" i="1"/>
  <c r="K734" i="1" s="1"/>
  <c r="C735" i="1"/>
  <c r="K735" i="1" s="1"/>
  <c r="C736" i="1"/>
  <c r="K736" i="1" s="1"/>
  <c r="C737" i="1"/>
  <c r="K737" i="1" s="1"/>
  <c r="C738" i="1"/>
  <c r="K738" i="1" s="1"/>
  <c r="C739" i="1"/>
  <c r="K739" i="1" s="1"/>
  <c r="C740" i="1"/>
  <c r="K740" i="1" s="1"/>
  <c r="C741" i="1"/>
  <c r="K741" i="1" s="1"/>
  <c r="C742" i="1"/>
  <c r="K742" i="1" s="1"/>
  <c r="C743" i="1"/>
  <c r="K743" i="1" s="1"/>
  <c r="C744" i="1"/>
  <c r="K744" i="1" s="1"/>
  <c r="C745" i="1"/>
  <c r="K745" i="1" s="1"/>
  <c r="C746" i="1"/>
  <c r="K746" i="1" s="1"/>
  <c r="C747" i="1"/>
  <c r="K747" i="1" s="1"/>
  <c r="C748" i="1"/>
  <c r="K748" i="1" s="1"/>
  <c r="C749" i="1"/>
  <c r="K749" i="1" s="1"/>
  <c r="C750" i="1"/>
  <c r="K750" i="1" s="1"/>
  <c r="C751" i="1"/>
  <c r="K751" i="1" s="1"/>
  <c r="C752" i="1"/>
  <c r="K752" i="1" s="1"/>
  <c r="C753" i="1"/>
  <c r="K753" i="1" s="1"/>
  <c r="C754" i="1"/>
  <c r="K754" i="1" s="1"/>
  <c r="C755" i="1"/>
  <c r="K755" i="1" s="1"/>
  <c r="C756" i="1"/>
  <c r="K756" i="1" s="1"/>
  <c r="C757" i="1"/>
  <c r="K757" i="1" s="1"/>
  <c r="C758" i="1"/>
  <c r="K758" i="1" s="1"/>
  <c r="C759" i="1"/>
  <c r="K759" i="1" s="1"/>
  <c r="C760" i="1"/>
  <c r="K760" i="1" s="1"/>
  <c r="C761" i="1"/>
  <c r="K761" i="1" s="1"/>
  <c r="C762" i="1"/>
  <c r="K762" i="1" s="1"/>
  <c r="C763" i="1"/>
  <c r="K763" i="1" s="1"/>
  <c r="C764" i="1"/>
  <c r="K764" i="1" s="1"/>
  <c r="C765" i="1"/>
  <c r="K765" i="1" s="1"/>
  <c r="C766" i="1"/>
  <c r="K766" i="1" s="1"/>
  <c r="C767" i="1"/>
  <c r="K767" i="1" s="1"/>
  <c r="C768" i="1"/>
  <c r="K768" i="1" s="1"/>
  <c r="C769" i="1"/>
  <c r="K769" i="1" s="1"/>
  <c r="C770" i="1"/>
  <c r="K770" i="1" s="1"/>
  <c r="C771" i="1"/>
  <c r="K771" i="1" s="1"/>
  <c r="C772" i="1"/>
  <c r="K772" i="1" s="1"/>
  <c r="C773" i="1"/>
  <c r="K773" i="1" s="1"/>
  <c r="C774" i="1"/>
  <c r="K774" i="1" s="1"/>
  <c r="C775" i="1"/>
  <c r="K775" i="1" s="1"/>
  <c r="C776" i="1"/>
  <c r="K776" i="1" s="1"/>
  <c r="C777" i="1"/>
  <c r="K777" i="1" s="1"/>
  <c r="C778" i="1"/>
  <c r="K778" i="1" s="1"/>
  <c r="C779" i="1"/>
  <c r="K779" i="1" s="1"/>
  <c r="C780" i="1"/>
  <c r="K780" i="1" s="1"/>
  <c r="C781" i="1"/>
  <c r="K781" i="1" s="1"/>
  <c r="C782" i="1"/>
  <c r="K782" i="1" s="1"/>
  <c r="C783" i="1"/>
  <c r="K783" i="1" s="1"/>
  <c r="C784" i="1"/>
  <c r="K784" i="1" s="1"/>
  <c r="C785" i="1"/>
  <c r="K785" i="1" s="1"/>
  <c r="C786" i="1"/>
  <c r="K786" i="1" s="1"/>
  <c r="C787" i="1"/>
  <c r="K787" i="1" s="1"/>
  <c r="C788" i="1"/>
  <c r="K788" i="1" s="1"/>
  <c r="C789" i="1"/>
  <c r="K789" i="1" s="1"/>
  <c r="C790" i="1"/>
  <c r="K790" i="1" s="1"/>
  <c r="C791" i="1"/>
  <c r="K791" i="1" s="1"/>
  <c r="C792" i="1"/>
  <c r="K792" i="1" s="1"/>
  <c r="C793" i="1"/>
  <c r="K793" i="1" s="1"/>
  <c r="C794" i="1"/>
  <c r="K794" i="1" s="1"/>
  <c r="C795" i="1"/>
  <c r="K795" i="1" s="1"/>
  <c r="C796" i="1"/>
  <c r="K796" i="1" s="1"/>
  <c r="C797" i="1"/>
  <c r="K797" i="1" s="1"/>
  <c r="C798" i="1"/>
  <c r="K798" i="1" s="1"/>
  <c r="C799" i="1"/>
  <c r="K799" i="1" s="1"/>
  <c r="C800" i="1"/>
  <c r="K800" i="1" s="1"/>
  <c r="C801" i="1"/>
  <c r="K801" i="1" s="1"/>
  <c r="C802" i="1"/>
  <c r="K802" i="1" s="1"/>
  <c r="C803" i="1"/>
  <c r="K803" i="1" s="1"/>
  <c r="C804" i="1"/>
  <c r="K804" i="1" s="1"/>
  <c r="C805" i="1"/>
  <c r="K805" i="1" s="1"/>
  <c r="C806" i="1"/>
  <c r="K806" i="1" s="1"/>
  <c r="C807" i="1"/>
  <c r="K807" i="1" s="1"/>
  <c r="C808" i="1"/>
  <c r="K808" i="1" s="1"/>
  <c r="C809" i="1"/>
  <c r="K809" i="1" s="1"/>
  <c r="C810" i="1"/>
  <c r="K810" i="1" s="1"/>
  <c r="C811" i="1"/>
  <c r="K811" i="1" s="1"/>
  <c r="C812" i="1"/>
  <c r="K812" i="1" s="1"/>
  <c r="C813" i="1"/>
  <c r="K813" i="1" s="1"/>
  <c r="C814" i="1"/>
  <c r="K814" i="1" s="1"/>
  <c r="C815" i="1"/>
  <c r="K815" i="1" s="1"/>
  <c r="C816" i="1"/>
  <c r="K816" i="1" s="1"/>
  <c r="C817" i="1"/>
  <c r="K817" i="1" s="1"/>
  <c r="C818" i="1"/>
  <c r="K818" i="1" s="1"/>
  <c r="C819" i="1"/>
  <c r="K819" i="1" s="1"/>
  <c r="C820" i="1"/>
  <c r="K820" i="1" s="1"/>
  <c r="C821" i="1"/>
  <c r="K821" i="1" s="1"/>
  <c r="C822" i="1"/>
  <c r="K822" i="1" s="1"/>
  <c r="C823" i="1"/>
  <c r="K823" i="1" s="1"/>
  <c r="C824" i="1"/>
  <c r="K824" i="1" s="1"/>
  <c r="C825" i="1"/>
  <c r="K825" i="1" s="1"/>
  <c r="C826" i="1"/>
  <c r="K826" i="1" s="1"/>
  <c r="C827" i="1"/>
  <c r="K827" i="1" s="1"/>
  <c r="C828" i="1"/>
  <c r="K828" i="1" s="1"/>
  <c r="C829" i="1"/>
  <c r="K829" i="1" s="1"/>
  <c r="C830" i="1"/>
  <c r="K830" i="1" s="1"/>
  <c r="C831" i="1"/>
  <c r="K831" i="1" s="1"/>
  <c r="C832" i="1"/>
  <c r="K832" i="1" s="1"/>
  <c r="C833" i="1"/>
  <c r="K833" i="1" s="1"/>
  <c r="C834" i="1"/>
  <c r="K834" i="1" s="1"/>
  <c r="C835" i="1"/>
  <c r="K835" i="1" s="1"/>
  <c r="C836" i="1"/>
  <c r="K836" i="1" s="1"/>
  <c r="C837" i="1"/>
  <c r="K837" i="1" s="1"/>
  <c r="C838" i="1"/>
  <c r="K838" i="1" s="1"/>
  <c r="C839" i="1"/>
  <c r="K839" i="1" s="1"/>
  <c r="C840" i="1"/>
  <c r="K840" i="1" s="1"/>
  <c r="C841" i="1"/>
  <c r="K841" i="1" s="1"/>
  <c r="C842" i="1"/>
  <c r="K842" i="1" s="1"/>
  <c r="C843" i="1"/>
  <c r="K843" i="1" s="1"/>
  <c r="C844" i="1"/>
  <c r="K844" i="1" s="1"/>
  <c r="C845" i="1"/>
  <c r="K845" i="1" s="1"/>
  <c r="C846" i="1"/>
  <c r="K846" i="1" s="1"/>
  <c r="C847" i="1"/>
  <c r="K847" i="1" s="1"/>
  <c r="C848" i="1"/>
  <c r="K848" i="1" s="1"/>
  <c r="C849" i="1"/>
  <c r="K849" i="1" s="1"/>
  <c r="C850" i="1"/>
  <c r="K850" i="1" s="1"/>
  <c r="C851" i="1"/>
  <c r="K851" i="1" s="1"/>
  <c r="C852" i="1"/>
  <c r="K852" i="1" s="1"/>
  <c r="C853" i="1"/>
  <c r="K853" i="1" s="1"/>
  <c r="C854" i="1"/>
  <c r="K854" i="1" s="1"/>
  <c r="C855" i="1"/>
  <c r="K855" i="1" s="1"/>
  <c r="C856" i="1"/>
  <c r="K856" i="1" s="1"/>
  <c r="C857" i="1"/>
  <c r="K857" i="1" s="1"/>
  <c r="C858" i="1"/>
  <c r="K858" i="1" s="1"/>
  <c r="C859" i="1"/>
  <c r="K859" i="1" s="1"/>
  <c r="C860" i="1"/>
  <c r="K860" i="1" s="1"/>
  <c r="C861" i="1"/>
  <c r="K861" i="1" s="1"/>
  <c r="C862" i="1"/>
  <c r="K862" i="1" s="1"/>
  <c r="C863" i="1"/>
  <c r="K863" i="1" s="1"/>
  <c r="C864" i="1"/>
  <c r="K864" i="1" s="1"/>
  <c r="C865" i="1"/>
  <c r="K865" i="1" s="1"/>
  <c r="C866" i="1"/>
  <c r="K866" i="1" s="1"/>
  <c r="C867" i="1"/>
  <c r="K867" i="1" s="1"/>
  <c r="C868" i="1"/>
  <c r="K868" i="1" s="1"/>
  <c r="C869" i="1"/>
  <c r="K869" i="1" s="1"/>
  <c r="C870" i="1"/>
  <c r="K870" i="1" s="1"/>
  <c r="C871" i="1"/>
  <c r="K871" i="1" s="1"/>
  <c r="C872" i="1"/>
  <c r="K872" i="1" s="1"/>
  <c r="C873" i="1"/>
  <c r="K873" i="1" s="1"/>
  <c r="C874" i="1"/>
  <c r="K874" i="1" s="1"/>
  <c r="C875" i="1"/>
  <c r="K875" i="1" s="1"/>
  <c r="C876" i="1"/>
  <c r="K876" i="1" s="1"/>
  <c r="C877" i="1"/>
  <c r="K877" i="1" s="1"/>
  <c r="C878" i="1"/>
  <c r="K878" i="1" s="1"/>
  <c r="C879" i="1"/>
  <c r="K879" i="1" s="1"/>
  <c r="C880" i="1"/>
  <c r="K880" i="1" s="1"/>
  <c r="C881" i="1"/>
  <c r="K881" i="1" s="1"/>
  <c r="C882" i="1"/>
  <c r="K882" i="1" s="1"/>
  <c r="C883" i="1"/>
  <c r="K883" i="1" s="1"/>
  <c r="C884" i="1"/>
  <c r="K884" i="1" s="1"/>
  <c r="C885" i="1"/>
  <c r="K885" i="1" s="1"/>
  <c r="C886" i="1"/>
  <c r="K886" i="1" s="1"/>
  <c r="C887" i="1"/>
  <c r="K887" i="1" s="1"/>
  <c r="C888" i="1"/>
  <c r="K888" i="1" s="1"/>
  <c r="C889" i="1"/>
  <c r="K889" i="1" s="1"/>
  <c r="C890" i="1"/>
  <c r="K890" i="1" s="1"/>
  <c r="C891" i="1"/>
  <c r="K891" i="1" s="1"/>
  <c r="C892" i="1"/>
  <c r="K892" i="1" s="1"/>
  <c r="C893" i="1"/>
  <c r="K893" i="1" s="1"/>
  <c r="C894" i="1"/>
  <c r="K894" i="1" s="1"/>
  <c r="C895" i="1"/>
  <c r="K895" i="1" s="1"/>
  <c r="C896" i="1"/>
  <c r="K896" i="1" s="1"/>
  <c r="C897" i="1"/>
  <c r="K897" i="1" s="1"/>
  <c r="C898" i="1"/>
  <c r="K898" i="1" s="1"/>
  <c r="C899" i="1"/>
  <c r="K899" i="1" s="1"/>
  <c r="C900" i="1"/>
  <c r="K900" i="1" s="1"/>
  <c r="C901" i="1"/>
  <c r="K901" i="1" s="1"/>
  <c r="C902" i="1"/>
  <c r="K902" i="1" s="1"/>
  <c r="C903" i="1"/>
  <c r="K903" i="1" s="1"/>
  <c r="C904" i="1"/>
  <c r="K904" i="1" s="1"/>
  <c r="C905" i="1"/>
  <c r="K905" i="1" s="1"/>
  <c r="C906" i="1"/>
  <c r="K906" i="1" s="1"/>
  <c r="C907" i="1"/>
  <c r="K907" i="1" s="1"/>
  <c r="C908" i="1"/>
  <c r="K908" i="1" s="1"/>
  <c r="C909" i="1"/>
  <c r="K909" i="1" s="1"/>
  <c r="C910" i="1"/>
  <c r="K910" i="1" s="1"/>
  <c r="C911" i="1"/>
  <c r="K911" i="1" s="1"/>
  <c r="C912" i="1"/>
  <c r="K912" i="1" s="1"/>
  <c r="C913" i="1"/>
  <c r="K913" i="1" s="1"/>
  <c r="C914" i="1"/>
  <c r="K914" i="1" s="1"/>
  <c r="C915" i="1"/>
  <c r="K915" i="1" s="1"/>
  <c r="C916" i="1"/>
  <c r="K916" i="1" s="1"/>
  <c r="C917" i="1"/>
  <c r="K917" i="1" s="1"/>
  <c r="C918" i="1"/>
  <c r="K918" i="1" s="1"/>
  <c r="C919" i="1"/>
  <c r="K919" i="1" s="1"/>
  <c r="C920" i="1"/>
  <c r="K920" i="1" s="1"/>
  <c r="C921" i="1"/>
  <c r="K921" i="1" s="1"/>
  <c r="C922" i="1"/>
  <c r="K922" i="1" s="1"/>
  <c r="C923" i="1"/>
  <c r="K923" i="1" s="1"/>
  <c r="C924" i="1"/>
  <c r="K924" i="1" s="1"/>
  <c r="C925" i="1"/>
  <c r="K925" i="1" s="1"/>
  <c r="C926" i="1"/>
  <c r="K926" i="1" s="1"/>
  <c r="C927" i="1"/>
  <c r="K927" i="1" s="1"/>
  <c r="C928" i="1"/>
  <c r="K928" i="1" s="1"/>
  <c r="C929" i="1"/>
  <c r="K929" i="1" s="1"/>
  <c r="C930" i="1"/>
  <c r="K930" i="1" s="1"/>
  <c r="C931" i="1"/>
  <c r="K931" i="1" s="1"/>
  <c r="C932" i="1"/>
  <c r="K932" i="1" s="1"/>
  <c r="C933" i="1"/>
  <c r="K933" i="1" s="1"/>
  <c r="C934" i="1"/>
  <c r="K934" i="1" s="1"/>
  <c r="C935" i="1"/>
  <c r="K935" i="1" s="1"/>
  <c r="C936" i="1"/>
  <c r="K936" i="1" s="1"/>
  <c r="C937" i="1"/>
  <c r="K937" i="1" s="1"/>
  <c r="C938" i="1"/>
  <c r="K938" i="1" s="1"/>
  <c r="C939" i="1"/>
  <c r="K939" i="1" s="1"/>
  <c r="C940" i="1"/>
  <c r="K940" i="1" s="1"/>
  <c r="C941" i="1"/>
  <c r="K941" i="1" s="1"/>
  <c r="C942" i="1"/>
  <c r="K942" i="1" s="1"/>
  <c r="C943" i="1"/>
  <c r="K943" i="1" s="1"/>
  <c r="C944" i="1"/>
  <c r="K944" i="1" s="1"/>
  <c r="C945" i="1"/>
  <c r="K945" i="1" s="1"/>
  <c r="C946" i="1"/>
  <c r="K946" i="1" s="1"/>
  <c r="C947" i="1"/>
  <c r="K947" i="1" s="1"/>
  <c r="C948" i="1"/>
  <c r="K948" i="1" s="1"/>
  <c r="C949" i="1"/>
  <c r="K949" i="1" s="1"/>
  <c r="C950" i="1"/>
  <c r="K950" i="1" s="1"/>
  <c r="C951" i="1"/>
  <c r="K951" i="1" s="1"/>
  <c r="C952" i="1"/>
  <c r="K952" i="1" s="1"/>
  <c r="C953" i="1"/>
  <c r="K953" i="1" s="1"/>
  <c r="C954" i="1"/>
  <c r="K954" i="1" s="1"/>
  <c r="C955" i="1"/>
  <c r="K955" i="1" s="1"/>
  <c r="C956" i="1"/>
  <c r="K956" i="1" s="1"/>
  <c r="C957" i="1"/>
  <c r="K957" i="1" s="1"/>
  <c r="C958" i="1"/>
  <c r="K958" i="1" s="1"/>
  <c r="C959" i="1"/>
  <c r="K959" i="1" s="1"/>
  <c r="C960" i="1"/>
  <c r="K960" i="1" s="1"/>
  <c r="C961" i="1"/>
  <c r="K961" i="1" s="1"/>
  <c r="C962" i="1"/>
  <c r="K962" i="1" s="1"/>
  <c r="C963" i="1"/>
  <c r="K963" i="1" s="1"/>
  <c r="C964" i="1"/>
  <c r="K964" i="1" s="1"/>
  <c r="C965" i="1"/>
  <c r="K965" i="1" s="1"/>
  <c r="C966" i="1"/>
  <c r="K966" i="1" s="1"/>
  <c r="C967" i="1"/>
  <c r="K967" i="1" s="1"/>
  <c r="C968" i="1"/>
  <c r="K968" i="1" s="1"/>
  <c r="C969" i="1"/>
  <c r="K969" i="1" s="1"/>
  <c r="C970" i="1"/>
  <c r="K970" i="1" s="1"/>
  <c r="C971" i="1"/>
  <c r="K971" i="1" s="1"/>
  <c r="C972" i="1"/>
  <c r="K972" i="1" s="1"/>
  <c r="C973" i="1"/>
  <c r="K973" i="1" s="1"/>
  <c r="C974" i="1"/>
  <c r="K974" i="1" s="1"/>
  <c r="C975" i="1"/>
  <c r="K975" i="1" s="1"/>
  <c r="C976" i="1"/>
  <c r="K976" i="1" s="1"/>
  <c r="C977" i="1"/>
  <c r="K977" i="1" s="1"/>
  <c r="C978" i="1"/>
  <c r="K978" i="1" s="1"/>
  <c r="C979" i="1"/>
  <c r="K979" i="1" s="1"/>
  <c r="C980" i="1"/>
  <c r="K980" i="1" s="1"/>
  <c r="C981" i="1"/>
  <c r="K981" i="1" s="1"/>
  <c r="C982" i="1"/>
  <c r="K982" i="1" s="1"/>
  <c r="C983" i="1"/>
  <c r="K983" i="1" s="1"/>
  <c r="C984" i="1"/>
  <c r="K984" i="1" s="1"/>
  <c r="C985" i="1"/>
  <c r="K985" i="1" s="1"/>
  <c r="C986" i="1"/>
  <c r="K986" i="1" s="1"/>
  <c r="C987" i="1"/>
  <c r="K987" i="1" s="1"/>
  <c r="C988" i="1"/>
  <c r="K988" i="1" s="1"/>
  <c r="C989" i="1"/>
  <c r="K989" i="1" s="1"/>
  <c r="C990" i="1"/>
  <c r="K990" i="1" s="1"/>
  <c r="C991" i="1"/>
  <c r="K991" i="1" s="1"/>
  <c r="C992" i="1"/>
  <c r="K992" i="1" s="1"/>
  <c r="C993" i="1"/>
  <c r="K993" i="1" s="1"/>
  <c r="C994" i="1"/>
  <c r="K994" i="1" s="1"/>
  <c r="C995" i="1"/>
  <c r="K995" i="1" s="1"/>
  <c r="C996" i="1"/>
  <c r="K996" i="1" s="1"/>
  <c r="C997" i="1"/>
  <c r="K997" i="1" s="1"/>
  <c r="C998" i="1"/>
  <c r="K998" i="1" s="1"/>
  <c r="C999" i="1"/>
  <c r="K999" i="1" s="1"/>
  <c r="C1000" i="1"/>
  <c r="K1000" i="1" s="1"/>
  <c r="C1001" i="1"/>
  <c r="K1001" i="1" s="1"/>
  <c r="C1002" i="1"/>
  <c r="K1002" i="1" s="1"/>
  <c r="C1003" i="1"/>
  <c r="K1003" i="1" s="1"/>
  <c r="C1004" i="1"/>
  <c r="K1004" i="1" s="1"/>
  <c r="C1005" i="1"/>
  <c r="K1005" i="1" s="1"/>
  <c r="C1006" i="1"/>
  <c r="K1006" i="1" s="1"/>
  <c r="C1007" i="1"/>
  <c r="K1007" i="1" s="1"/>
  <c r="C1008" i="1"/>
  <c r="K1008" i="1" s="1"/>
  <c r="C1009" i="1"/>
  <c r="K1009" i="1" s="1"/>
  <c r="C1010" i="1"/>
  <c r="K1010" i="1" s="1"/>
  <c r="C1011" i="1"/>
  <c r="K1011" i="1" s="1"/>
  <c r="C1012" i="1"/>
  <c r="K1012" i="1" s="1"/>
  <c r="C1013" i="1"/>
  <c r="K1013" i="1" s="1"/>
  <c r="C1014" i="1"/>
  <c r="K1014" i="1" s="1"/>
  <c r="C1015" i="1"/>
  <c r="K1015" i="1" s="1"/>
  <c r="C1016" i="1"/>
  <c r="K1016" i="1" s="1"/>
  <c r="C1017" i="1"/>
  <c r="K1017" i="1" s="1"/>
  <c r="C1018" i="1"/>
  <c r="K1018" i="1" s="1"/>
  <c r="C1019" i="1"/>
  <c r="K1019" i="1" s="1"/>
  <c r="C1020" i="1"/>
  <c r="K1020" i="1" s="1"/>
  <c r="C1021" i="1"/>
  <c r="K1021" i="1" s="1"/>
  <c r="C1022" i="1"/>
  <c r="K1022" i="1" s="1"/>
  <c r="C1023" i="1"/>
  <c r="K1023" i="1" s="1"/>
  <c r="C1024" i="1"/>
  <c r="K1024" i="1" s="1"/>
  <c r="C1025" i="1"/>
  <c r="K1025" i="1" s="1"/>
  <c r="C1026" i="1"/>
  <c r="K1026" i="1" s="1"/>
  <c r="C1027" i="1"/>
  <c r="K1027" i="1" s="1"/>
  <c r="C1028" i="1"/>
  <c r="K1028" i="1" s="1"/>
  <c r="C1029" i="1"/>
  <c r="K1029" i="1" s="1"/>
  <c r="C1030" i="1"/>
  <c r="K1030" i="1" s="1"/>
  <c r="C1031" i="1"/>
  <c r="K1031" i="1" s="1"/>
  <c r="C1032" i="1"/>
  <c r="K1032" i="1" s="1"/>
  <c r="C1033" i="1"/>
  <c r="K1033" i="1" s="1"/>
  <c r="C1034" i="1"/>
  <c r="K1034" i="1" s="1"/>
  <c r="C1035" i="1"/>
  <c r="K1035" i="1" s="1"/>
  <c r="C1036" i="1"/>
  <c r="K1036" i="1" s="1"/>
  <c r="C1037" i="1"/>
  <c r="K1037" i="1" s="1"/>
  <c r="C1038" i="1"/>
  <c r="K1038" i="1" s="1"/>
  <c r="C1039" i="1"/>
  <c r="K1039" i="1" s="1"/>
  <c r="C1040" i="1"/>
  <c r="K1040" i="1" s="1"/>
  <c r="C1041" i="1"/>
  <c r="K1041" i="1" s="1"/>
  <c r="C1042" i="1"/>
  <c r="K1042" i="1" s="1"/>
  <c r="C1043" i="1"/>
  <c r="K1043" i="1" s="1"/>
  <c r="C1044" i="1"/>
  <c r="K1044" i="1" s="1"/>
  <c r="C1045" i="1"/>
  <c r="K1045" i="1" s="1"/>
  <c r="C1046" i="1"/>
  <c r="K1046" i="1" s="1"/>
  <c r="C1047" i="1"/>
  <c r="K1047" i="1" s="1"/>
  <c r="C1048" i="1"/>
  <c r="K1048" i="1" s="1"/>
  <c r="C1049" i="1"/>
  <c r="K1049" i="1" s="1"/>
  <c r="C1050" i="1"/>
  <c r="K1050" i="1" s="1"/>
  <c r="C1051" i="1"/>
  <c r="K1051" i="1" s="1"/>
  <c r="C1052" i="1"/>
  <c r="K1052" i="1" s="1"/>
  <c r="C1053" i="1"/>
  <c r="K1053" i="1" s="1"/>
  <c r="C1054" i="1"/>
  <c r="K1054" i="1" s="1"/>
  <c r="C1055" i="1"/>
  <c r="K1055" i="1" s="1"/>
  <c r="C1056" i="1"/>
  <c r="K1056" i="1" s="1"/>
  <c r="C1057" i="1"/>
  <c r="K1057" i="1" s="1"/>
  <c r="C1058" i="1"/>
  <c r="K1058" i="1" s="1"/>
  <c r="C1059" i="1"/>
  <c r="K1059" i="1" s="1"/>
  <c r="C1060" i="1"/>
  <c r="K1060" i="1" s="1"/>
  <c r="C1061" i="1"/>
  <c r="K1061" i="1" s="1"/>
  <c r="C1062" i="1"/>
  <c r="K1062" i="1" s="1"/>
  <c r="C1063" i="1"/>
  <c r="K1063" i="1" s="1"/>
  <c r="C1064" i="1"/>
  <c r="K1064" i="1" s="1"/>
  <c r="C1065" i="1"/>
  <c r="K1065" i="1" s="1"/>
  <c r="C1066" i="1"/>
  <c r="K1066" i="1" s="1"/>
  <c r="C1067" i="1"/>
  <c r="K1067" i="1" s="1"/>
  <c r="C1068" i="1"/>
  <c r="K1068" i="1" s="1"/>
  <c r="C1069" i="1"/>
  <c r="K1069" i="1" s="1"/>
  <c r="C1070" i="1"/>
  <c r="K1070" i="1" s="1"/>
  <c r="C1071" i="1"/>
  <c r="K1071" i="1" s="1"/>
  <c r="C1072" i="1"/>
  <c r="K1072" i="1" s="1"/>
  <c r="C1073" i="1"/>
  <c r="K1073" i="1" s="1"/>
  <c r="C1074" i="1"/>
  <c r="K1074" i="1" s="1"/>
  <c r="C1075" i="1"/>
  <c r="K1075" i="1" s="1"/>
  <c r="C1076" i="1"/>
  <c r="K1076" i="1" s="1"/>
  <c r="C1077" i="1"/>
  <c r="K1077" i="1" s="1"/>
  <c r="C1078" i="1"/>
  <c r="K1078" i="1" s="1"/>
  <c r="C1079" i="1"/>
  <c r="K1079" i="1" s="1"/>
  <c r="C1080" i="1"/>
  <c r="K1080" i="1" s="1"/>
  <c r="C1081" i="1"/>
  <c r="K1081" i="1" s="1"/>
  <c r="C1082" i="1"/>
  <c r="K1082" i="1" s="1"/>
  <c r="C1083" i="1"/>
  <c r="K1083" i="1" s="1"/>
  <c r="C1084" i="1"/>
  <c r="K1084" i="1" s="1"/>
  <c r="C1085" i="1"/>
  <c r="K1085" i="1" s="1"/>
  <c r="C1086" i="1"/>
  <c r="K1086" i="1" s="1"/>
  <c r="C1087" i="1"/>
  <c r="K1087" i="1" s="1"/>
  <c r="C1088" i="1"/>
  <c r="K1088" i="1" s="1"/>
  <c r="C1089" i="1"/>
  <c r="K1089" i="1" s="1"/>
  <c r="C1090" i="1"/>
  <c r="K1090" i="1" s="1"/>
  <c r="C1091" i="1"/>
  <c r="K1091" i="1" s="1"/>
  <c r="C1092" i="1"/>
  <c r="K1092" i="1" s="1"/>
  <c r="C1093" i="1"/>
  <c r="K1093" i="1" s="1"/>
  <c r="C1094" i="1"/>
  <c r="K1094" i="1" s="1"/>
  <c r="C1095" i="1"/>
  <c r="K1095" i="1" s="1"/>
  <c r="C1096" i="1"/>
  <c r="K1096" i="1" s="1"/>
  <c r="C1097" i="1"/>
  <c r="K1097" i="1" s="1"/>
  <c r="C1098" i="1"/>
  <c r="K1098" i="1" s="1"/>
  <c r="C1099" i="1"/>
  <c r="K1099" i="1" s="1"/>
  <c r="C1100" i="1"/>
  <c r="K1100" i="1" s="1"/>
  <c r="C1101" i="1"/>
  <c r="K1101" i="1" s="1"/>
  <c r="C1102" i="1"/>
  <c r="K1102" i="1" s="1"/>
  <c r="C1103" i="1"/>
  <c r="K1103" i="1" s="1"/>
  <c r="C1104" i="1"/>
  <c r="K1104" i="1" s="1"/>
  <c r="C1105" i="1"/>
  <c r="K1105" i="1" s="1"/>
  <c r="C1106" i="1"/>
  <c r="K1106" i="1" s="1"/>
  <c r="C1107" i="1"/>
  <c r="K1107" i="1" s="1"/>
  <c r="C1108" i="1"/>
  <c r="K1108" i="1" s="1"/>
  <c r="C1109" i="1"/>
  <c r="K1109" i="1" s="1"/>
  <c r="C1110" i="1"/>
  <c r="K1110" i="1" s="1"/>
  <c r="C1111" i="1"/>
  <c r="K1111" i="1" s="1"/>
  <c r="C1112" i="1"/>
  <c r="K1112" i="1" s="1"/>
  <c r="C1113" i="1"/>
  <c r="K1113" i="1" s="1"/>
  <c r="C1114" i="1"/>
  <c r="K1114" i="1" s="1"/>
  <c r="C1115" i="1"/>
  <c r="K1115" i="1" s="1"/>
  <c r="C1116" i="1"/>
  <c r="K1116" i="1" s="1"/>
  <c r="C1117" i="1"/>
  <c r="K1117" i="1" s="1"/>
  <c r="C1118" i="1"/>
  <c r="K1118" i="1" s="1"/>
  <c r="C1119" i="1"/>
  <c r="K1119" i="1" s="1"/>
  <c r="C1120" i="1"/>
  <c r="K1120" i="1" s="1"/>
  <c r="C1121" i="1"/>
  <c r="K1121" i="1" s="1"/>
  <c r="C1122" i="1"/>
  <c r="K1122" i="1" s="1"/>
  <c r="C1123" i="1"/>
  <c r="K1123" i="1" s="1"/>
  <c r="C1124" i="1"/>
  <c r="K1124" i="1" s="1"/>
  <c r="C1125" i="1"/>
  <c r="K1125" i="1" s="1"/>
  <c r="C1126" i="1"/>
  <c r="K1126" i="1" s="1"/>
  <c r="C1127" i="1"/>
  <c r="K1127" i="1" s="1"/>
  <c r="C1128" i="1"/>
  <c r="K1128" i="1" s="1"/>
  <c r="C1129" i="1"/>
  <c r="K1129" i="1" s="1"/>
  <c r="C1130" i="1"/>
  <c r="K1130" i="1" s="1"/>
  <c r="C1131" i="1"/>
  <c r="K1131" i="1" s="1"/>
  <c r="C1132" i="1"/>
  <c r="K1132" i="1" s="1"/>
  <c r="C1133" i="1"/>
  <c r="K1133" i="1" s="1"/>
  <c r="C1134" i="1"/>
  <c r="K1134" i="1" s="1"/>
  <c r="C1135" i="1"/>
  <c r="K1135" i="1" s="1"/>
  <c r="C1136" i="1"/>
  <c r="K1136" i="1" s="1"/>
  <c r="C1137" i="1"/>
  <c r="K1137" i="1" s="1"/>
  <c r="C1138" i="1"/>
  <c r="K1138" i="1" s="1"/>
  <c r="C1139" i="1"/>
  <c r="K1139" i="1" s="1"/>
  <c r="C1140" i="1"/>
  <c r="K1140" i="1" s="1"/>
  <c r="C1141" i="1"/>
  <c r="K1141" i="1" s="1"/>
  <c r="C1142" i="1"/>
  <c r="K1142" i="1" s="1"/>
  <c r="C1143" i="1"/>
  <c r="K1143" i="1" s="1"/>
  <c r="C1144" i="1"/>
  <c r="K1144" i="1" s="1"/>
  <c r="C1145" i="1"/>
  <c r="K1145" i="1" s="1"/>
  <c r="C1146" i="1"/>
  <c r="K1146" i="1" s="1"/>
  <c r="C1147" i="1"/>
  <c r="K1147" i="1" s="1"/>
  <c r="C1148" i="1"/>
  <c r="K1148" i="1" s="1"/>
  <c r="C1149" i="1"/>
  <c r="K1149" i="1" s="1"/>
  <c r="C1150" i="1"/>
  <c r="K1150" i="1" s="1"/>
  <c r="C1151" i="1"/>
  <c r="K1151" i="1" s="1"/>
  <c r="C1152" i="1"/>
  <c r="K1152" i="1" s="1"/>
  <c r="C1153" i="1"/>
  <c r="K1153" i="1" s="1"/>
  <c r="C1154" i="1"/>
  <c r="K1154" i="1" s="1"/>
  <c r="C1155" i="1"/>
  <c r="K1155" i="1" s="1"/>
  <c r="C1156" i="1"/>
  <c r="K1156" i="1" s="1"/>
  <c r="C1157" i="1"/>
  <c r="K1157" i="1" s="1"/>
  <c r="C1158" i="1"/>
  <c r="K1158" i="1" s="1"/>
  <c r="C1159" i="1"/>
  <c r="K1159" i="1" s="1"/>
  <c r="C1160" i="1"/>
  <c r="K1160" i="1" s="1"/>
  <c r="C1161" i="1"/>
  <c r="K1161" i="1" s="1"/>
  <c r="C1162" i="1"/>
  <c r="K1162" i="1" s="1"/>
  <c r="C1163" i="1"/>
  <c r="K1163" i="1" s="1"/>
  <c r="C1164" i="1"/>
  <c r="K1164" i="1" s="1"/>
  <c r="C1165" i="1"/>
  <c r="K1165" i="1" s="1"/>
  <c r="C1166" i="1"/>
  <c r="K1166" i="1" s="1"/>
  <c r="C1167" i="1"/>
  <c r="K1167" i="1" s="1"/>
  <c r="C1168" i="1"/>
  <c r="K1168" i="1" s="1"/>
  <c r="C1169" i="1"/>
  <c r="K1169" i="1" s="1"/>
  <c r="C1170" i="1"/>
  <c r="K1170" i="1" s="1"/>
  <c r="C1171" i="1"/>
  <c r="K1171" i="1" s="1"/>
  <c r="C1172" i="1"/>
  <c r="K1172" i="1" s="1"/>
  <c r="C1173" i="1"/>
  <c r="K1173" i="1" s="1"/>
  <c r="C1174" i="1"/>
  <c r="K1174" i="1" s="1"/>
  <c r="C1175" i="1"/>
  <c r="K1175" i="1" s="1"/>
  <c r="C1176" i="1"/>
  <c r="K1176" i="1" s="1"/>
  <c r="C1177" i="1"/>
  <c r="K1177" i="1" s="1"/>
  <c r="C1178" i="1"/>
  <c r="K1178" i="1" s="1"/>
  <c r="C1179" i="1"/>
  <c r="K1179" i="1" s="1"/>
  <c r="C1180" i="1"/>
  <c r="K1180" i="1" s="1"/>
  <c r="C1181" i="1"/>
  <c r="K1181" i="1" s="1"/>
  <c r="C1182" i="1"/>
  <c r="K1182" i="1" s="1"/>
  <c r="C1183" i="1"/>
  <c r="K1183" i="1" s="1"/>
  <c r="C1184" i="1"/>
  <c r="K1184" i="1" s="1"/>
  <c r="C1185" i="1"/>
  <c r="K1185" i="1" s="1"/>
  <c r="C1186" i="1"/>
  <c r="K1186" i="1" s="1"/>
  <c r="C1187" i="1"/>
  <c r="K1187" i="1" s="1"/>
  <c r="C1188" i="1"/>
  <c r="K1188" i="1" s="1"/>
  <c r="C1189" i="1"/>
  <c r="K1189" i="1" s="1"/>
  <c r="C1190" i="1"/>
  <c r="K1190" i="1" s="1"/>
  <c r="C1191" i="1"/>
  <c r="K1191" i="1" s="1"/>
  <c r="C1192" i="1"/>
  <c r="K1192" i="1" s="1"/>
  <c r="C1193" i="1"/>
  <c r="K1193" i="1" s="1"/>
  <c r="C1194" i="1"/>
  <c r="K1194" i="1" s="1"/>
  <c r="C1195" i="1"/>
  <c r="K1195" i="1" s="1"/>
  <c r="C1196" i="1"/>
  <c r="K1196" i="1" s="1"/>
  <c r="C1197" i="1"/>
  <c r="K1197" i="1" s="1"/>
  <c r="C1198" i="1"/>
  <c r="K1198" i="1" s="1"/>
  <c r="C1199" i="1"/>
  <c r="K1199" i="1" s="1"/>
  <c r="C1200" i="1"/>
  <c r="K1200" i="1" s="1"/>
  <c r="C1201" i="1"/>
  <c r="K1201" i="1" s="1"/>
  <c r="C1202" i="1"/>
  <c r="K1202" i="1" s="1"/>
  <c r="C1203" i="1"/>
  <c r="K1203" i="1" s="1"/>
  <c r="C1204" i="1"/>
  <c r="K1204" i="1" s="1"/>
  <c r="C1205" i="1"/>
  <c r="K1205" i="1" s="1"/>
  <c r="C1206" i="1"/>
  <c r="K1206" i="1" s="1"/>
  <c r="C1207" i="1"/>
  <c r="K1207" i="1" s="1"/>
  <c r="C1208" i="1"/>
  <c r="K1208" i="1" s="1"/>
  <c r="C1209" i="1"/>
  <c r="K1209" i="1" s="1"/>
  <c r="C1210" i="1"/>
  <c r="K1210" i="1" s="1"/>
  <c r="C1211" i="1"/>
  <c r="K1211" i="1" s="1"/>
  <c r="C1212" i="1"/>
  <c r="K1212" i="1" s="1"/>
  <c r="C1213" i="1"/>
  <c r="K1213" i="1" s="1"/>
  <c r="C1214" i="1"/>
  <c r="K1214" i="1" s="1"/>
  <c r="C1215" i="1"/>
  <c r="K1215" i="1" s="1"/>
  <c r="C1216" i="1"/>
  <c r="K1216" i="1" s="1"/>
  <c r="C1217" i="1"/>
  <c r="K1217" i="1" s="1"/>
  <c r="C1218" i="1"/>
  <c r="K1218" i="1" s="1"/>
  <c r="C1219" i="1"/>
  <c r="K1219" i="1" s="1"/>
  <c r="C1220" i="1"/>
  <c r="K1220" i="1" s="1"/>
  <c r="C1221" i="1"/>
  <c r="K1221" i="1" s="1"/>
  <c r="C1222" i="1"/>
  <c r="K1222" i="1" s="1"/>
  <c r="C1223" i="1"/>
  <c r="K1223" i="1" s="1"/>
  <c r="C1224" i="1"/>
  <c r="K1224" i="1" s="1"/>
  <c r="C1225" i="1"/>
  <c r="K1225" i="1" s="1"/>
  <c r="C1226" i="1"/>
  <c r="K1226" i="1" s="1"/>
  <c r="C1227" i="1"/>
  <c r="K1227" i="1" s="1"/>
  <c r="C1228" i="1"/>
  <c r="K1228" i="1" s="1"/>
  <c r="C1229" i="1"/>
  <c r="K1229" i="1" s="1"/>
  <c r="C1230" i="1"/>
  <c r="K1230" i="1" s="1"/>
  <c r="C1231" i="1"/>
  <c r="K1231" i="1" s="1"/>
  <c r="C1232" i="1"/>
  <c r="K1232" i="1" s="1"/>
  <c r="C1233" i="1"/>
  <c r="K1233" i="1" s="1"/>
  <c r="C1234" i="1"/>
  <c r="K1234" i="1" s="1"/>
  <c r="C1235" i="1"/>
  <c r="K1235" i="1" s="1"/>
  <c r="C1236" i="1"/>
  <c r="K1236" i="1" s="1"/>
  <c r="C1237" i="1"/>
  <c r="K1237" i="1" s="1"/>
  <c r="C1238" i="1"/>
  <c r="K1238" i="1" s="1"/>
  <c r="C1239" i="1"/>
  <c r="K1239" i="1" s="1"/>
  <c r="C1240" i="1"/>
  <c r="K1240" i="1" s="1"/>
  <c r="C1241" i="1"/>
  <c r="K1241" i="1" s="1"/>
  <c r="C1242" i="1"/>
  <c r="K1242" i="1" s="1"/>
  <c r="C1243" i="1"/>
  <c r="K1243" i="1" s="1"/>
  <c r="C1244" i="1"/>
  <c r="K1244" i="1" s="1"/>
  <c r="C1245" i="1"/>
  <c r="K1245" i="1" s="1"/>
  <c r="C1246" i="1"/>
  <c r="K1246" i="1" s="1"/>
  <c r="C1247" i="1"/>
  <c r="K1247" i="1" s="1"/>
  <c r="C1248" i="1"/>
  <c r="K1248" i="1" s="1"/>
  <c r="C1249" i="1"/>
  <c r="K1249" i="1" s="1"/>
  <c r="C1250" i="1"/>
  <c r="K1250" i="1" s="1"/>
  <c r="C1251" i="1"/>
  <c r="K1251" i="1" s="1"/>
  <c r="C1252" i="1"/>
  <c r="K1252" i="1" s="1"/>
  <c r="C1253" i="1"/>
  <c r="K1253" i="1" s="1"/>
  <c r="C1254" i="1"/>
  <c r="K1254" i="1" s="1"/>
  <c r="C1255" i="1"/>
  <c r="K1255" i="1" s="1"/>
  <c r="C1256" i="1"/>
  <c r="K1256" i="1" s="1"/>
  <c r="C1257" i="1"/>
  <c r="K1257" i="1" s="1"/>
  <c r="C1258" i="1"/>
  <c r="K1258" i="1" s="1"/>
  <c r="C1259" i="1"/>
  <c r="K1259" i="1" s="1"/>
  <c r="C1260" i="1"/>
  <c r="K1260" i="1" s="1"/>
  <c r="C1261" i="1"/>
  <c r="K1261" i="1" s="1"/>
  <c r="C1262" i="1"/>
  <c r="K1262" i="1" s="1"/>
  <c r="C1263" i="1"/>
  <c r="K1263" i="1" s="1"/>
  <c r="C1264" i="1"/>
  <c r="K1264" i="1" s="1"/>
  <c r="C1265" i="1"/>
  <c r="K1265" i="1" s="1"/>
  <c r="C1266" i="1"/>
  <c r="K1266" i="1" s="1"/>
  <c r="C1267" i="1"/>
  <c r="K1267" i="1" s="1"/>
  <c r="C1268" i="1"/>
  <c r="K1268" i="1" s="1"/>
  <c r="C1269" i="1"/>
  <c r="K1269" i="1" s="1"/>
  <c r="C1270" i="1"/>
  <c r="K1270" i="1" s="1"/>
  <c r="C1271" i="1"/>
  <c r="K1271" i="1" s="1"/>
  <c r="C1272" i="1"/>
  <c r="K1272" i="1" s="1"/>
  <c r="C1273" i="1"/>
  <c r="K1273" i="1" s="1"/>
  <c r="C1274" i="1"/>
  <c r="K1274" i="1" s="1"/>
  <c r="C1275" i="1"/>
  <c r="K1275" i="1" s="1"/>
  <c r="C1276" i="1"/>
  <c r="K1276" i="1" s="1"/>
  <c r="C1277" i="1"/>
  <c r="K1277" i="1" s="1"/>
  <c r="C1278" i="1"/>
  <c r="K1278" i="1" s="1"/>
  <c r="C1279" i="1"/>
  <c r="K1279" i="1" s="1"/>
  <c r="C1280" i="1"/>
  <c r="K1280" i="1" s="1"/>
  <c r="C1281" i="1"/>
  <c r="K1281" i="1" s="1"/>
  <c r="C1282" i="1"/>
  <c r="K1282" i="1" s="1"/>
  <c r="C1283" i="1"/>
  <c r="K1283" i="1" s="1"/>
  <c r="C1284" i="1"/>
  <c r="K1284" i="1" s="1"/>
  <c r="C1285" i="1"/>
  <c r="K1285" i="1" s="1"/>
  <c r="C1286" i="1"/>
  <c r="K1286" i="1" s="1"/>
  <c r="C1287" i="1"/>
  <c r="K1287" i="1" s="1"/>
  <c r="C1288" i="1"/>
  <c r="K1288" i="1" s="1"/>
  <c r="C1289" i="1"/>
  <c r="K1289" i="1" s="1"/>
  <c r="C1290" i="1"/>
  <c r="K1290" i="1" s="1"/>
  <c r="C1291" i="1"/>
  <c r="K1291" i="1" s="1"/>
  <c r="C1292" i="1"/>
  <c r="K1292" i="1" s="1"/>
  <c r="C1293" i="1"/>
  <c r="K1293" i="1" s="1"/>
  <c r="C1294" i="1"/>
  <c r="K1294" i="1" s="1"/>
  <c r="C1295" i="1"/>
  <c r="K1295" i="1" s="1"/>
  <c r="C1296" i="1"/>
  <c r="K1296" i="1" s="1"/>
  <c r="C1297" i="1"/>
  <c r="K1297" i="1" s="1"/>
  <c r="C1298" i="1"/>
  <c r="K1298" i="1" s="1"/>
  <c r="C1299" i="1"/>
  <c r="K1299" i="1" s="1"/>
  <c r="C1300" i="1"/>
  <c r="K1300" i="1" s="1"/>
  <c r="C1301" i="1"/>
  <c r="K1301" i="1" s="1"/>
  <c r="C1302" i="1"/>
  <c r="K1302" i="1" s="1"/>
  <c r="C1303" i="1"/>
  <c r="K1303" i="1" s="1"/>
  <c r="C1304" i="1"/>
  <c r="K1304" i="1" s="1"/>
  <c r="C1305" i="1"/>
  <c r="K1305" i="1" s="1"/>
  <c r="C1306" i="1"/>
  <c r="K1306" i="1" s="1"/>
  <c r="C1307" i="1"/>
  <c r="K1307" i="1" s="1"/>
  <c r="C1308" i="1"/>
  <c r="K1308" i="1" s="1"/>
  <c r="C1309" i="1"/>
  <c r="K1309" i="1" s="1"/>
  <c r="C1310" i="1"/>
  <c r="K1310" i="1" s="1"/>
  <c r="C1311" i="1"/>
  <c r="K1311" i="1" s="1"/>
  <c r="C1312" i="1"/>
  <c r="K1312" i="1" s="1"/>
  <c r="C1313" i="1"/>
  <c r="K1313" i="1" s="1"/>
  <c r="C1314" i="1"/>
  <c r="K1314" i="1" s="1"/>
  <c r="C1315" i="1"/>
  <c r="K1315" i="1" s="1"/>
  <c r="C1316" i="1"/>
  <c r="K1316" i="1" s="1"/>
  <c r="C1317" i="1"/>
  <c r="K1317" i="1" s="1"/>
  <c r="C1318" i="1"/>
  <c r="K1318" i="1" s="1"/>
  <c r="C1319" i="1"/>
  <c r="K1319" i="1" s="1"/>
  <c r="C1320" i="1"/>
  <c r="K1320" i="1" s="1"/>
  <c r="C1321" i="1"/>
  <c r="K1321" i="1" s="1"/>
  <c r="C1322" i="1"/>
  <c r="K1322" i="1" s="1"/>
  <c r="C1323" i="1"/>
  <c r="K1323" i="1" s="1"/>
  <c r="C1324" i="1"/>
  <c r="K1324" i="1" s="1"/>
  <c r="C1325" i="1"/>
  <c r="K1325" i="1" s="1"/>
  <c r="C1326" i="1"/>
  <c r="K1326" i="1" s="1"/>
  <c r="C1327" i="1"/>
  <c r="K1327" i="1" s="1"/>
  <c r="C1328" i="1"/>
  <c r="K1328" i="1" s="1"/>
  <c r="C1329" i="1"/>
  <c r="K1329" i="1" s="1"/>
  <c r="C1330" i="1"/>
  <c r="K1330" i="1" s="1"/>
  <c r="C1331" i="1"/>
  <c r="K1331" i="1" s="1"/>
  <c r="C1332" i="1"/>
  <c r="K1332" i="1" s="1"/>
  <c r="C1333" i="1"/>
  <c r="K1333" i="1" s="1"/>
  <c r="C1334" i="1"/>
  <c r="K1334" i="1" s="1"/>
  <c r="C1335" i="1"/>
  <c r="K1335" i="1" s="1"/>
  <c r="C1336" i="1"/>
  <c r="K1336" i="1" s="1"/>
  <c r="C1337" i="1"/>
  <c r="K1337" i="1" s="1"/>
  <c r="C1338" i="1"/>
  <c r="K1338" i="1" s="1"/>
  <c r="C1339" i="1"/>
  <c r="K1339" i="1" s="1"/>
  <c r="C1340" i="1"/>
  <c r="K1340" i="1" s="1"/>
  <c r="C1341" i="1"/>
  <c r="K1341" i="1" s="1"/>
  <c r="C1342" i="1"/>
  <c r="K1342" i="1" s="1"/>
  <c r="C1343" i="1"/>
  <c r="K1343" i="1" s="1"/>
  <c r="C1344" i="1"/>
  <c r="K1344" i="1" s="1"/>
  <c r="C1345" i="1"/>
  <c r="K1345" i="1" s="1"/>
  <c r="C1346" i="1"/>
  <c r="K1346" i="1" s="1"/>
  <c r="C1347" i="1"/>
  <c r="K1347" i="1" s="1"/>
  <c r="C1348" i="1"/>
  <c r="K1348" i="1" s="1"/>
  <c r="C1349" i="1"/>
  <c r="K1349" i="1" s="1"/>
  <c r="C1350" i="1"/>
  <c r="K1350" i="1" s="1"/>
  <c r="C1351" i="1"/>
  <c r="K1351" i="1" s="1"/>
  <c r="C1352" i="1"/>
  <c r="K1352" i="1" s="1"/>
  <c r="C1353" i="1"/>
  <c r="K1353" i="1" s="1"/>
  <c r="C1354" i="1"/>
  <c r="K1354" i="1" s="1"/>
  <c r="C1355" i="1"/>
  <c r="K1355" i="1" s="1"/>
  <c r="C1356" i="1"/>
  <c r="K1356" i="1" s="1"/>
  <c r="C1357" i="1"/>
  <c r="K1357" i="1" s="1"/>
  <c r="C1358" i="1"/>
  <c r="K1358" i="1" s="1"/>
  <c r="C1359" i="1"/>
  <c r="K1359" i="1" s="1"/>
  <c r="C1360" i="1"/>
  <c r="K1360" i="1" s="1"/>
  <c r="C1361" i="1"/>
  <c r="K1361" i="1" s="1"/>
  <c r="C1362" i="1"/>
  <c r="K1362" i="1" s="1"/>
  <c r="C1363" i="1"/>
  <c r="K1363" i="1" s="1"/>
  <c r="C1364" i="1"/>
  <c r="K1364" i="1" s="1"/>
  <c r="C1365" i="1"/>
  <c r="K1365" i="1" s="1"/>
  <c r="C1366" i="1"/>
  <c r="K1366" i="1" s="1"/>
  <c r="C1367" i="1"/>
  <c r="K1367" i="1" s="1"/>
  <c r="C1368" i="1"/>
  <c r="K1368" i="1" s="1"/>
  <c r="C1369" i="1"/>
  <c r="K1369" i="1" s="1"/>
  <c r="C1370" i="1"/>
  <c r="K1370" i="1" s="1"/>
  <c r="C1371" i="1"/>
  <c r="K1371" i="1" s="1"/>
  <c r="C1372" i="1"/>
  <c r="K1372" i="1" s="1"/>
  <c r="C1373" i="1"/>
  <c r="K1373" i="1" s="1"/>
  <c r="C1374" i="1"/>
  <c r="K1374" i="1" s="1"/>
  <c r="C1375" i="1"/>
  <c r="K1375" i="1" s="1"/>
  <c r="C1376" i="1"/>
  <c r="K1376" i="1" s="1"/>
  <c r="C1377" i="1"/>
  <c r="K1377" i="1" s="1"/>
  <c r="C1378" i="1"/>
  <c r="K1378" i="1" s="1"/>
  <c r="C1379" i="1"/>
  <c r="K1379" i="1" s="1"/>
  <c r="C1380" i="1"/>
  <c r="K1380" i="1" s="1"/>
  <c r="C1381" i="1"/>
  <c r="K1381" i="1" s="1"/>
  <c r="C1382" i="1"/>
  <c r="K1382" i="1" s="1"/>
  <c r="C1383" i="1"/>
  <c r="K1383" i="1" s="1"/>
  <c r="C1384" i="1"/>
  <c r="K1384" i="1" s="1"/>
  <c r="C1385" i="1"/>
  <c r="K1385" i="1" s="1"/>
  <c r="C1386" i="1"/>
  <c r="K1386" i="1" s="1"/>
  <c r="C1387" i="1"/>
  <c r="K1387" i="1" s="1"/>
  <c r="C1388" i="1"/>
  <c r="K1388" i="1" s="1"/>
  <c r="C1389" i="1"/>
  <c r="K1389" i="1" s="1"/>
  <c r="C1390" i="1"/>
  <c r="K1390" i="1" s="1"/>
  <c r="C1391" i="1"/>
  <c r="K1391" i="1" s="1"/>
  <c r="C1392" i="1"/>
  <c r="K1392" i="1" s="1"/>
  <c r="C1393" i="1"/>
  <c r="K1393" i="1" s="1"/>
  <c r="C1394" i="1"/>
  <c r="K1394" i="1" s="1"/>
  <c r="C1395" i="1"/>
  <c r="K1395" i="1" s="1"/>
  <c r="C1396" i="1"/>
  <c r="K1396" i="1" s="1"/>
  <c r="P34" i="1"/>
  <c r="P33" i="1"/>
  <c r="P35" i="1"/>
  <c r="P38" i="1"/>
  <c r="P39" i="1"/>
  <c r="P32" i="1"/>
  <c r="P40" i="1"/>
  <c r="P42" i="1"/>
  <c r="P43" i="1"/>
  <c r="P45" i="1"/>
  <c r="P22" i="1"/>
  <c r="P23" i="1"/>
  <c r="P27" i="1"/>
  <c r="P36" i="1"/>
  <c r="P37" i="1"/>
  <c r="P41" i="1"/>
  <c r="P44" i="1"/>
  <c r="P14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4" i="1"/>
  <c r="P73" i="1"/>
  <c r="P75" i="1"/>
  <c r="P76" i="1"/>
  <c r="P80" i="1"/>
  <c r="P81" i="1"/>
  <c r="P77" i="1"/>
  <c r="P78" i="1"/>
  <c r="P79" i="1"/>
  <c r="P82" i="1"/>
  <c r="P83" i="1"/>
  <c r="P84" i="1"/>
  <c r="P85" i="1"/>
  <c r="P86" i="1"/>
  <c r="P87" i="1"/>
  <c r="P88" i="1"/>
  <c r="P90" i="1"/>
  <c r="P91" i="1"/>
  <c r="P92" i="1"/>
  <c r="P93" i="1"/>
  <c r="P94" i="1"/>
  <c r="P95" i="1"/>
  <c r="P96" i="1"/>
  <c r="P97" i="1"/>
  <c r="P98" i="1"/>
  <c r="P99" i="1"/>
  <c r="P100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Q34" i="1"/>
  <c r="Q33" i="1"/>
  <c r="Q35" i="1"/>
  <c r="Q38" i="1"/>
  <c r="Q39" i="1"/>
  <c r="Q32" i="1"/>
  <c r="Q40" i="1"/>
  <c r="Q42" i="1"/>
  <c r="Q43" i="1"/>
  <c r="Q45" i="1"/>
  <c r="Q22" i="1"/>
  <c r="Q23" i="1"/>
  <c r="Q27" i="1"/>
  <c r="Q36" i="1"/>
  <c r="Q37" i="1"/>
  <c r="Q41" i="1"/>
  <c r="Q44" i="1"/>
  <c r="Q14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4" i="1"/>
  <c r="Q65" i="1"/>
  <c r="Q66" i="1"/>
  <c r="Q67" i="1"/>
  <c r="Q68" i="1"/>
  <c r="Q69" i="1"/>
  <c r="Q70" i="1"/>
  <c r="Q71" i="1"/>
  <c r="Q72" i="1"/>
  <c r="Q74" i="1"/>
  <c r="Q73" i="1"/>
  <c r="Q75" i="1"/>
  <c r="Q76" i="1"/>
  <c r="Q80" i="1"/>
  <c r="Q81" i="1"/>
  <c r="Q77" i="1"/>
  <c r="Q78" i="1"/>
  <c r="Q79" i="1"/>
  <c r="Q82" i="1"/>
  <c r="Q83" i="1"/>
  <c r="Q84" i="1"/>
  <c r="Q85" i="1"/>
  <c r="Q86" i="1"/>
  <c r="Q87" i="1"/>
  <c r="Q88" i="1"/>
  <c r="Q90" i="1"/>
  <c r="Q91" i="1"/>
  <c r="Q92" i="1"/>
  <c r="Q93" i="1"/>
  <c r="Q94" i="1"/>
  <c r="Q95" i="1"/>
  <c r="Q96" i="1"/>
  <c r="Q97" i="1"/>
  <c r="Q98" i="1"/>
  <c r="Q99" i="1"/>
  <c r="Q100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P5" i="1"/>
  <c r="P9" i="1"/>
  <c r="P7" i="1"/>
  <c r="P10" i="1"/>
  <c r="P8" i="1"/>
  <c r="P11" i="1"/>
  <c r="P12" i="1"/>
  <c r="P4" i="1"/>
  <c r="P30" i="1"/>
  <c r="P29" i="1"/>
  <c r="P28" i="1"/>
  <c r="P13" i="1"/>
  <c r="P15" i="1"/>
  <c r="P17" i="1"/>
  <c r="P18" i="1"/>
  <c r="P16" i="1"/>
  <c r="P19" i="1"/>
  <c r="P20" i="1"/>
  <c r="P24" i="1"/>
  <c r="P25" i="1"/>
  <c r="P31" i="1"/>
  <c r="P26" i="1"/>
  <c r="P2" i="1"/>
  <c r="P3" i="1"/>
  <c r="P21" i="1"/>
  <c r="Q5" i="1"/>
  <c r="Q9" i="1"/>
  <c r="Q7" i="1"/>
  <c r="Q10" i="1"/>
  <c r="Q8" i="1"/>
  <c r="Q11" i="1"/>
  <c r="Q12" i="1"/>
  <c r="Q4" i="1"/>
  <c r="Q30" i="1"/>
  <c r="Q29" i="1"/>
  <c r="Q28" i="1"/>
  <c r="Q13" i="1"/>
  <c r="Q15" i="1"/>
  <c r="Q17" i="1"/>
  <c r="Q18" i="1"/>
  <c r="Q16" i="1"/>
  <c r="Q19" i="1"/>
  <c r="Q20" i="1"/>
  <c r="Q24" i="1"/>
  <c r="Q25" i="1"/>
  <c r="Q31" i="1"/>
  <c r="Q26" i="1"/>
  <c r="Q2" i="1"/>
  <c r="Q3" i="1"/>
  <c r="Q21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0" i="1"/>
  <c r="C99" i="1"/>
  <c r="C98" i="1"/>
  <c r="C97" i="1"/>
  <c r="C96" i="1"/>
  <c r="C95" i="1"/>
  <c r="C94" i="1"/>
  <c r="C93" i="1"/>
  <c r="C92" i="1"/>
  <c r="C91" i="1"/>
  <c r="C90" i="1"/>
  <c r="C88" i="1"/>
  <c r="C87" i="1"/>
  <c r="C86" i="1"/>
  <c r="C85" i="1"/>
  <c r="C84" i="1"/>
  <c r="C83" i="1"/>
  <c r="C82" i="1"/>
  <c r="C79" i="1"/>
  <c r="C78" i="1"/>
  <c r="C77" i="1"/>
  <c r="C81" i="1"/>
  <c r="C80" i="1"/>
  <c r="C76" i="1"/>
  <c r="C75" i="1"/>
  <c r="C74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14" i="1"/>
  <c r="C44" i="1"/>
  <c r="C41" i="1"/>
  <c r="C37" i="1"/>
  <c r="C36" i="1"/>
  <c r="C27" i="1"/>
  <c r="C23" i="1"/>
  <c r="C22" i="1"/>
  <c r="C43" i="1"/>
  <c r="C42" i="1"/>
  <c r="C40" i="1"/>
  <c r="C32" i="1"/>
  <c r="C39" i="1"/>
  <c r="C38" i="1"/>
  <c r="C35" i="1"/>
  <c r="C33" i="1"/>
  <c r="C34" i="1"/>
  <c r="C21" i="1"/>
  <c r="C3" i="1"/>
  <c r="C2" i="1"/>
  <c r="C26" i="1"/>
  <c r="C31" i="1"/>
  <c r="C25" i="1"/>
  <c r="C24" i="1"/>
  <c r="C20" i="1"/>
  <c r="C19" i="1"/>
  <c r="C16" i="1"/>
  <c r="C18" i="1"/>
  <c r="C17" i="1"/>
  <c r="C15" i="1"/>
  <c r="C13" i="1"/>
  <c r="C28" i="1"/>
  <c r="C29" i="1"/>
  <c r="C30" i="1"/>
  <c r="C4" i="1"/>
  <c r="C12" i="1"/>
  <c r="C11" i="1"/>
  <c r="C8" i="1"/>
  <c r="C10" i="1"/>
  <c r="C7" i="1"/>
  <c r="C9" i="1"/>
  <c r="C5" i="1"/>
  <c r="Q6" i="1"/>
  <c r="I6" i="1"/>
  <c r="C6" i="1"/>
  <c r="J6" i="1" l="1"/>
  <c r="K6" i="1"/>
  <c r="J52" i="1"/>
  <c r="K52" i="1"/>
  <c r="K489" i="1"/>
  <c r="K477" i="1"/>
  <c r="K465" i="1"/>
  <c r="K453" i="1"/>
  <c r="K441" i="1"/>
  <c r="K488" i="1"/>
  <c r="K476" i="1"/>
  <c r="K464" i="1"/>
  <c r="K452" i="1"/>
  <c r="K440" i="1"/>
  <c r="K428" i="1"/>
  <c r="K416" i="1"/>
  <c r="K404" i="1"/>
  <c r="K392" i="1"/>
  <c r="K380" i="1"/>
  <c r="K368" i="1"/>
  <c r="K356" i="1"/>
  <c r="K344" i="1"/>
  <c r="K332" i="1"/>
  <c r="K320" i="1"/>
  <c r="K308" i="1"/>
  <c r="K296" i="1"/>
  <c r="K284" i="1"/>
  <c r="K272" i="1"/>
  <c r="K260" i="1"/>
  <c r="K248" i="1"/>
  <c r="K236" i="1"/>
  <c r="K224" i="1"/>
  <c r="K212" i="1"/>
  <c r="K200" i="1"/>
  <c r="K188" i="1"/>
  <c r="K176" i="1"/>
  <c r="K164" i="1"/>
  <c r="K152" i="1"/>
  <c r="K140" i="1"/>
  <c r="K128" i="1"/>
  <c r="K116" i="1"/>
  <c r="K104" i="1"/>
  <c r="K92" i="1"/>
  <c r="K77" i="1"/>
  <c r="K68" i="1"/>
  <c r="K56" i="1"/>
  <c r="K44" i="1"/>
  <c r="K39" i="1"/>
  <c r="K24" i="1"/>
  <c r="K487" i="1"/>
  <c r="K475" i="1"/>
  <c r="K463" i="1"/>
  <c r="K451" i="1"/>
  <c r="K439" i="1"/>
  <c r="K427" i="1"/>
  <c r="K415" i="1"/>
  <c r="K403" i="1"/>
  <c r="K391" i="1"/>
  <c r="K379" i="1"/>
  <c r="K367" i="1"/>
  <c r="K355" i="1"/>
  <c r="K343" i="1"/>
  <c r="K331" i="1"/>
  <c r="K319" i="1"/>
  <c r="K307" i="1"/>
  <c r="K295" i="1"/>
  <c r="K283" i="1"/>
  <c r="K271" i="1"/>
  <c r="K259" i="1"/>
  <c r="K247" i="1"/>
  <c r="K235" i="1"/>
  <c r="K223" i="1"/>
  <c r="K211" i="1"/>
  <c r="K199" i="1"/>
  <c r="K187" i="1"/>
  <c r="K175" i="1"/>
  <c r="K163" i="1"/>
  <c r="K151" i="1"/>
  <c r="K139" i="1"/>
  <c r="K127" i="1"/>
  <c r="K486" i="1"/>
  <c r="K474" i="1"/>
  <c r="K462" i="1"/>
  <c r="K450" i="1"/>
  <c r="K438" i="1"/>
  <c r="K426" i="1"/>
  <c r="K414" i="1"/>
  <c r="K402" i="1"/>
  <c r="K390" i="1"/>
  <c r="K378" i="1"/>
  <c r="K366" i="1"/>
  <c r="K354" i="1"/>
  <c r="K342" i="1"/>
  <c r="K330" i="1"/>
  <c r="K318" i="1"/>
  <c r="K306" i="1"/>
  <c r="K294" i="1"/>
  <c r="K282" i="1"/>
  <c r="K270" i="1"/>
  <c r="K258" i="1"/>
  <c r="K246" i="1"/>
  <c r="K234" i="1"/>
  <c r="K222" i="1"/>
  <c r="K210" i="1"/>
  <c r="K198" i="1"/>
  <c r="K186" i="1"/>
  <c r="K174" i="1"/>
  <c r="K162" i="1"/>
  <c r="K150" i="1"/>
  <c r="K138" i="1"/>
  <c r="K126" i="1"/>
  <c r="K114" i="1"/>
  <c r="K102" i="1"/>
  <c r="K90" i="1"/>
  <c r="K80" i="1"/>
  <c r="K66" i="1"/>
  <c r="K54" i="1"/>
  <c r="K37" i="1"/>
  <c r="K35" i="1"/>
  <c r="K19" i="1"/>
  <c r="K485" i="1"/>
  <c r="K473" i="1"/>
  <c r="K461" i="1"/>
  <c r="K449" i="1"/>
  <c r="K437" i="1"/>
  <c r="K425" i="1"/>
  <c r="K413" i="1"/>
  <c r="K401" i="1"/>
  <c r="K389" i="1"/>
  <c r="K377" i="1"/>
  <c r="K365" i="1"/>
  <c r="K353" i="1"/>
  <c r="K341" i="1"/>
  <c r="K329" i="1"/>
  <c r="K317" i="1"/>
  <c r="K305" i="1"/>
  <c r="K293" i="1"/>
  <c r="K281" i="1"/>
  <c r="K269" i="1"/>
  <c r="K257" i="1"/>
  <c r="K245" i="1"/>
  <c r="K233" i="1"/>
  <c r="K221" i="1"/>
  <c r="K209" i="1"/>
  <c r="K197" i="1"/>
  <c r="K185" i="1"/>
  <c r="K173" i="1"/>
  <c r="K161" i="1"/>
  <c r="K149" i="1"/>
  <c r="K137" i="1"/>
  <c r="K125" i="1"/>
  <c r="K113" i="1"/>
  <c r="K88" i="1"/>
  <c r="K76" i="1"/>
  <c r="K65" i="1"/>
  <c r="K53" i="1"/>
  <c r="K36" i="1"/>
  <c r="K33" i="1"/>
  <c r="K16" i="1"/>
  <c r="K484" i="1"/>
  <c r="K472" i="1"/>
  <c r="K460" i="1"/>
  <c r="K448" i="1"/>
  <c r="K436" i="1"/>
  <c r="K424" i="1"/>
  <c r="K412" i="1"/>
  <c r="K400" i="1"/>
  <c r="K388" i="1"/>
  <c r="K376" i="1"/>
  <c r="K364" i="1"/>
  <c r="K352" i="1"/>
  <c r="K340" i="1"/>
  <c r="K328" i="1"/>
  <c r="K316" i="1"/>
  <c r="K304" i="1"/>
  <c r="K292" i="1"/>
  <c r="K280" i="1"/>
  <c r="K268" i="1"/>
  <c r="K256" i="1"/>
  <c r="K244" i="1"/>
  <c r="K232" i="1"/>
  <c r="K220" i="1"/>
  <c r="K208" i="1"/>
  <c r="K196" i="1"/>
  <c r="K184" i="1"/>
  <c r="K172" i="1"/>
  <c r="K160" i="1"/>
  <c r="K148" i="1"/>
  <c r="K136" i="1"/>
  <c r="K124" i="1"/>
  <c r="K112" i="1"/>
  <c r="K100" i="1"/>
  <c r="K87" i="1"/>
  <c r="K75" i="1"/>
  <c r="K64" i="1"/>
  <c r="K27" i="1"/>
  <c r="K34" i="1"/>
  <c r="K18" i="1"/>
  <c r="K447" i="1"/>
  <c r="K435" i="1"/>
  <c r="K423" i="1"/>
  <c r="K411" i="1"/>
  <c r="K399" i="1"/>
  <c r="K387" i="1"/>
  <c r="K375" i="1"/>
  <c r="K363" i="1"/>
  <c r="K351" i="1"/>
  <c r="K339" i="1"/>
  <c r="K327" i="1"/>
  <c r="K315" i="1"/>
  <c r="K303" i="1"/>
  <c r="K291" i="1"/>
  <c r="K279" i="1"/>
  <c r="K267" i="1"/>
  <c r="K255" i="1"/>
  <c r="K243" i="1"/>
  <c r="K231" i="1"/>
  <c r="K219" i="1"/>
  <c r="K207" i="1"/>
  <c r="K195" i="1"/>
  <c r="K183" i="1"/>
  <c r="K171" i="1"/>
  <c r="K159" i="1"/>
  <c r="K147" i="1"/>
  <c r="K135" i="1"/>
  <c r="K123" i="1"/>
  <c r="K111" i="1"/>
  <c r="K99" i="1"/>
  <c r="K86" i="1"/>
  <c r="K63" i="1"/>
  <c r="K51" i="1"/>
  <c r="K23" i="1"/>
  <c r="K17" i="1"/>
  <c r="K482" i="1"/>
  <c r="K470" i="1"/>
  <c r="K458" i="1"/>
  <c r="K446" i="1"/>
  <c r="K434" i="1"/>
  <c r="K422" i="1"/>
  <c r="K410" i="1"/>
  <c r="K398" i="1"/>
  <c r="K386" i="1"/>
  <c r="K374" i="1"/>
  <c r="K362" i="1"/>
  <c r="K350" i="1"/>
  <c r="K338" i="1"/>
  <c r="K326" i="1"/>
  <c r="K314" i="1"/>
  <c r="K302" i="1"/>
  <c r="K290" i="1"/>
  <c r="K278" i="1"/>
  <c r="K266" i="1"/>
  <c r="K254" i="1"/>
  <c r="K242" i="1"/>
  <c r="K230" i="1"/>
  <c r="K218" i="1"/>
  <c r="K206" i="1"/>
  <c r="K194" i="1"/>
  <c r="K182" i="1"/>
  <c r="K170" i="1"/>
  <c r="K158" i="1"/>
  <c r="K146" i="1"/>
  <c r="K134" i="1"/>
  <c r="K122" i="1"/>
  <c r="K110" i="1"/>
  <c r="K98" i="1"/>
  <c r="K85" i="1"/>
  <c r="K73" i="1"/>
  <c r="K62" i="1"/>
  <c r="K50" i="1"/>
  <c r="K22" i="1"/>
  <c r="K21" i="1"/>
  <c r="K15" i="1"/>
  <c r="K493" i="1"/>
  <c r="K481" i="1"/>
  <c r="K469" i="1"/>
  <c r="K457" i="1"/>
  <c r="K445" i="1"/>
  <c r="K433" i="1"/>
  <c r="K421" i="1"/>
  <c r="K409" i="1"/>
  <c r="K397" i="1"/>
  <c r="K385" i="1"/>
  <c r="K373" i="1"/>
  <c r="K361" i="1"/>
  <c r="K349" i="1"/>
  <c r="K337" i="1"/>
  <c r="K325" i="1"/>
  <c r="K313" i="1"/>
  <c r="K301" i="1"/>
  <c r="K289" i="1"/>
  <c r="K277" i="1"/>
  <c r="K265" i="1"/>
  <c r="K253" i="1"/>
  <c r="K241" i="1"/>
  <c r="K229" i="1"/>
  <c r="K217" i="1"/>
  <c r="K205" i="1"/>
  <c r="K193" i="1"/>
  <c r="K181" i="1"/>
  <c r="K169" i="1"/>
  <c r="K157" i="1"/>
  <c r="K145" i="1"/>
  <c r="K133" i="1"/>
  <c r="K121" i="1"/>
  <c r="K109" i="1"/>
  <c r="K97" i="1"/>
  <c r="K84" i="1"/>
  <c r="K74" i="1"/>
  <c r="K61" i="1"/>
  <c r="K49" i="1"/>
  <c r="K45" i="1"/>
  <c r="K3" i="1"/>
  <c r="K13" i="1"/>
  <c r="K5" i="1"/>
  <c r="K471" i="1"/>
  <c r="K492" i="1"/>
  <c r="K480" i="1"/>
  <c r="K468" i="1"/>
  <c r="K456" i="1"/>
  <c r="K444" i="1"/>
  <c r="K432" i="1"/>
  <c r="K420" i="1"/>
  <c r="K408" i="1"/>
  <c r="K396" i="1"/>
  <c r="K384" i="1"/>
  <c r="K372" i="1"/>
  <c r="K360" i="1"/>
  <c r="K348" i="1"/>
  <c r="K336" i="1"/>
  <c r="K324" i="1"/>
  <c r="K312" i="1"/>
  <c r="K300" i="1"/>
  <c r="K288" i="1"/>
  <c r="K276" i="1"/>
  <c r="K264" i="1"/>
  <c r="K252" i="1"/>
  <c r="K240" i="1"/>
  <c r="K228" i="1"/>
  <c r="K216" i="1"/>
  <c r="K204" i="1"/>
  <c r="K192" i="1"/>
  <c r="K180" i="1"/>
  <c r="K168" i="1"/>
  <c r="K156" i="1"/>
  <c r="K144" i="1"/>
  <c r="K132" i="1"/>
  <c r="K120" i="1"/>
  <c r="K108" i="1"/>
  <c r="K96" i="1"/>
  <c r="K83" i="1"/>
  <c r="K72" i="1"/>
  <c r="K60" i="1"/>
  <c r="K459" i="1"/>
  <c r="K491" i="1"/>
  <c r="K479" i="1"/>
  <c r="K467" i="1"/>
  <c r="K455" i="1"/>
  <c r="K443" i="1"/>
  <c r="K431" i="1"/>
  <c r="K419" i="1"/>
  <c r="K407" i="1"/>
  <c r="K395" i="1"/>
  <c r="K383" i="1"/>
  <c r="K371" i="1"/>
  <c r="K359" i="1"/>
  <c r="K347" i="1"/>
  <c r="K335" i="1"/>
  <c r="K323" i="1"/>
  <c r="K311" i="1"/>
  <c r="K483" i="1"/>
  <c r="K48" i="1"/>
  <c r="K43" i="1"/>
  <c r="K2" i="1"/>
  <c r="K28" i="1"/>
  <c r="K299" i="1"/>
  <c r="K287" i="1"/>
  <c r="K275" i="1"/>
  <c r="K263" i="1"/>
  <c r="K251" i="1"/>
  <c r="K239" i="1"/>
  <c r="K227" i="1"/>
  <c r="K215" i="1"/>
  <c r="K203" i="1"/>
  <c r="K191" i="1"/>
  <c r="K179" i="1"/>
  <c r="K167" i="1"/>
  <c r="K155" i="1"/>
  <c r="K143" i="1"/>
  <c r="K131" i="1"/>
  <c r="K119" i="1"/>
  <c r="K107" i="1"/>
  <c r="K95" i="1"/>
  <c r="K82" i="1"/>
  <c r="K71" i="1"/>
  <c r="K59" i="1"/>
  <c r="K47" i="1"/>
  <c r="K42" i="1"/>
  <c r="K26" i="1"/>
  <c r="K490" i="1"/>
  <c r="K478" i="1"/>
  <c r="K466" i="1"/>
  <c r="K454" i="1"/>
  <c r="K442" i="1"/>
  <c r="K430" i="1"/>
  <c r="K418" i="1"/>
  <c r="K406" i="1"/>
  <c r="K394" i="1"/>
  <c r="K382" i="1"/>
  <c r="K370" i="1"/>
  <c r="K358" i="1"/>
  <c r="K346" i="1"/>
  <c r="K334" i="1"/>
  <c r="K322" i="1"/>
  <c r="K310" i="1"/>
  <c r="K298" i="1"/>
  <c r="K286" i="1"/>
  <c r="K274" i="1"/>
  <c r="K262" i="1"/>
  <c r="K250" i="1"/>
  <c r="K238" i="1"/>
  <c r="K226" i="1"/>
  <c r="K214" i="1"/>
  <c r="K202" i="1"/>
  <c r="K190" i="1"/>
  <c r="K178" i="1"/>
  <c r="K166" i="1"/>
  <c r="K154" i="1"/>
  <c r="K142" i="1"/>
  <c r="K130" i="1"/>
  <c r="K118" i="1"/>
  <c r="K106" i="1"/>
  <c r="K94" i="1"/>
  <c r="K79" i="1"/>
  <c r="K70" i="1"/>
  <c r="K58" i="1"/>
  <c r="K46" i="1"/>
  <c r="K40" i="1"/>
  <c r="K31" i="1"/>
  <c r="K429" i="1"/>
  <c r="K417" i="1"/>
  <c r="K405" i="1"/>
  <c r="K393" i="1"/>
  <c r="K381" i="1"/>
  <c r="K369" i="1"/>
  <c r="K357" i="1"/>
  <c r="K345" i="1"/>
  <c r="K333" i="1"/>
  <c r="K321" i="1"/>
  <c r="K309" i="1"/>
  <c r="K297" i="1"/>
  <c r="K285" i="1"/>
  <c r="K273" i="1"/>
  <c r="K261" i="1"/>
  <c r="K249" i="1"/>
  <c r="K237" i="1"/>
  <c r="K225" i="1"/>
  <c r="K213" i="1"/>
  <c r="K201" i="1"/>
  <c r="K189" i="1"/>
  <c r="K177" i="1"/>
  <c r="K165" i="1"/>
  <c r="K153" i="1"/>
  <c r="K141" i="1"/>
  <c r="K129" i="1"/>
  <c r="K117" i="1"/>
  <c r="K105" i="1"/>
  <c r="K93" i="1"/>
  <c r="K78" i="1"/>
  <c r="K69" i="1"/>
  <c r="K57" i="1"/>
  <c r="K14" i="1"/>
  <c r="K32" i="1"/>
  <c r="K25" i="1"/>
  <c r="K115" i="1"/>
  <c r="K103" i="1"/>
  <c r="K91" i="1"/>
  <c r="K81" i="1"/>
  <c r="K67" i="1"/>
  <c r="K55" i="1"/>
  <c r="K38" i="1"/>
  <c r="K20" i="1"/>
  <c r="K29" i="1"/>
  <c r="K30" i="1"/>
  <c r="K4" i="1"/>
  <c r="K12" i="1"/>
  <c r="K8" i="1"/>
  <c r="K9" i="1"/>
  <c r="J5" i="1"/>
  <c r="K11" i="1"/>
  <c r="K10" i="1"/>
  <c r="K7" i="1"/>
</calcChain>
</file>

<file path=xl/sharedStrings.xml><?xml version="1.0" encoding="utf-8"?>
<sst xmlns="http://schemas.openxmlformats.org/spreadsheetml/2006/main" count="4987" uniqueCount="1382">
  <si>
    <t>Data Última Aprovação RC</t>
  </si>
  <si>
    <t>Data
Pedido</t>
  </si>
  <si>
    <t>SLA Atendimento</t>
  </si>
  <si>
    <t>Comprador</t>
  </si>
  <si>
    <t>Área Requisitante</t>
  </si>
  <si>
    <t>Fornecedor</t>
  </si>
  <si>
    <t>Tipo</t>
  </si>
  <si>
    <t>Material /
Serviço</t>
  </si>
  <si>
    <t>SLA
Padrão</t>
  </si>
  <si>
    <t>Atrasada / No prazo</t>
  </si>
  <si>
    <t xml:space="preserve">Δ 
SLA Padrão
x 
SLA Atendimento
</t>
  </si>
  <si>
    <t>Preço Histórico</t>
  </si>
  <si>
    <t>Proposta
 Inicial</t>
  </si>
  <si>
    <t>Proposta
 Negociada</t>
  </si>
  <si>
    <t>Moeda</t>
  </si>
  <si>
    <t>Saving + Cost 
Total</t>
  </si>
  <si>
    <t>% Redução</t>
  </si>
  <si>
    <t>Modalidade</t>
  </si>
  <si>
    <t>RC</t>
  </si>
  <si>
    <t>Pedido Compras</t>
  </si>
  <si>
    <t>Previsão
Entrega</t>
  </si>
  <si>
    <t>Follow Up</t>
  </si>
  <si>
    <t>NF</t>
  </si>
  <si>
    <t>RECEBIMENTO 
CONCLUÍDO?</t>
  </si>
  <si>
    <t>FORNECEDOR 
LOCAL?</t>
  </si>
  <si>
    <t>Amanda Salvi</t>
  </si>
  <si>
    <t>ADMINISTRATIVE</t>
  </si>
  <si>
    <t>Disk Limpeza Total Ltda</t>
  </si>
  <si>
    <t>Spot</t>
  </si>
  <si>
    <t>Material Urgente</t>
  </si>
  <si>
    <t>BRL</t>
  </si>
  <si>
    <t>RC 10001693</t>
  </si>
  <si>
    <t>Sim</t>
  </si>
  <si>
    <t>Idealiza Comercio de Utilidades Ltda</t>
  </si>
  <si>
    <t>RC 10001694</t>
  </si>
  <si>
    <t>Não</t>
  </si>
  <si>
    <t>Michel Bernardes</t>
  </si>
  <si>
    <t>PROJECTS</t>
  </si>
  <si>
    <t>Mcr Plataformas</t>
  </si>
  <si>
    <t>Contrato</t>
  </si>
  <si>
    <t>Contrato Contínuo Simples</t>
  </si>
  <si>
    <t>Saving</t>
  </si>
  <si>
    <t>Locação PTA- Transferência de Contrato</t>
  </si>
  <si>
    <t>Mensal</t>
  </si>
  <si>
    <t>GEOLOGICAL EXPLORATION</t>
  </si>
  <si>
    <t>Alpha Abras</t>
  </si>
  <si>
    <t>Material Normal</t>
  </si>
  <si>
    <t>RC10001658</t>
  </si>
  <si>
    <t>Comercial ArtPel</t>
  </si>
  <si>
    <t>RC 10001655</t>
  </si>
  <si>
    <t>Sodre Miguel</t>
  </si>
  <si>
    <t>RC 10001657</t>
  </si>
  <si>
    <t>IT</t>
  </si>
  <si>
    <t>Ubiquiti Brazil</t>
  </si>
  <si>
    <t>RC 10001672</t>
  </si>
  <si>
    <t>COMMUNITY RELATIONS</t>
  </si>
  <si>
    <t>MOVMED COMERCIO DE MOVEIS E PRODUTOS</t>
  </si>
  <si>
    <t>Cost Avoidance</t>
  </si>
  <si>
    <t>RC 10001633</t>
  </si>
  <si>
    <t>Toque de Cor</t>
  </si>
  <si>
    <t>RC 10001659</t>
  </si>
  <si>
    <t>ENVIRONMENT</t>
  </si>
  <si>
    <t>Sievert Laboratórios</t>
  </si>
  <si>
    <t>Programa de proteção radiológica CPTR</t>
  </si>
  <si>
    <t>PP Caponi</t>
  </si>
  <si>
    <t>RC 10001667 - Cristal</t>
  </si>
  <si>
    <t>SUSTAINABILITY</t>
  </si>
  <si>
    <t>Marcelo Batista</t>
  </si>
  <si>
    <t>Serviço Normal</t>
  </si>
  <si>
    <t>RC 10001564</t>
  </si>
  <si>
    <t>CPTR</t>
  </si>
  <si>
    <t>Base Quimica SA</t>
  </si>
  <si>
    <t>RC 10001684 - Sulfato de Amônio (AmSul) para operação – CPTR</t>
  </si>
  <si>
    <t>HUMAN RESOURCES</t>
  </si>
  <si>
    <t>A C N PALMILHAS E BRINDES LTDA</t>
  </si>
  <si>
    <t>RC 10001681 - MOUSE PAD ERGONÔMICO PERSONALIZADO Viridis</t>
  </si>
  <si>
    <t>Cristais São Marcos</t>
  </si>
  <si>
    <t>Tec Print Suprimentos e Assistencia</t>
  </si>
  <si>
    <t>RC 10001645</t>
  </si>
  <si>
    <t>Ebazar.com.br Utilidades Ltda</t>
  </si>
  <si>
    <t>RC 10001624</t>
  </si>
  <si>
    <t>Júlia Guidorizzi</t>
  </si>
  <si>
    <t>WMF Brazil Ltda</t>
  </si>
  <si>
    <t>Serviço Urgente</t>
  </si>
  <si>
    <t>RC 10001664 - REGULARIZAÇÃO - Envio de amostra de MREC para Solvay - CPTR</t>
  </si>
  <si>
    <t>02449-0726</t>
  </si>
  <si>
    <t>EHS Treinamentos</t>
  </si>
  <si>
    <t>RC 10001699 - Monitoramento de Ruído - CPTR</t>
  </si>
  <si>
    <t>Casa Sao Juliao Comercio de Tintas Ltda</t>
  </si>
  <si>
    <t>RC 10001704</t>
  </si>
  <si>
    <t>Eletrochoque Comercial Eletrica LTda</t>
  </si>
  <si>
    <t>Regularização</t>
  </si>
  <si>
    <t>Regularização - Instalação do Tanque e Agitador 3110TH001</t>
  </si>
  <si>
    <t>RC 10001693 - Itens de Limpeza Argentina Mall</t>
  </si>
  <si>
    <t>HSE</t>
  </si>
  <si>
    <t>1000 Marcas</t>
  </si>
  <si>
    <t>RC 10001703 - Botinas de segurança com sistema anti-torção - Marluvas (CA nº 34550)</t>
  </si>
  <si>
    <t>PURCHASING</t>
  </si>
  <si>
    <t>Poços Print</t>
  </si>
  <si>
    <t>RC 10001698 - Tintas Epson 544 para Impressora EcoTank</t>
  </si>
  <si>
    <t>alpha Abras</t>
  </si>
  <si>
    <t>RC 10001692 - Abraçadeiras de nylon – CPTR</t>
  </si>
  <si>
    <t>Deiseane Alves</t>
  </si>
  <si>
    <t>RC 10001593 - Gaveteiro com Chave para Compras, Facilities e Frota</t>
  </si>
  <si>
    <t>Borges Comecio e Equipamentos</t>
  </si>
  <si>
    <t>RC 10001677 - Tela para projeção CPTR</t>
  </si>
  <si>
    <t>Alpha Brasil Goiania</t>
  </si>
  <si>
    <t>RC 10001656 - Pisante traseiro direito (TXP8I65)</t>
  </si>
  <si>
    <t>truck Shop Comercio LTDA</t>
  </si>
  <si>
    <t>RC 10001647 - Calços para caminhonete</t>
  </si>
  <si>
    <t>A.M Marques Produtos para Laboratórios</t>
  </si>
  <si>
    <t>RC 10001649 - Papel filtro para kitassato</t>
  </si>
  <si>
    <t>Watson-Marlow</t>
  </si>
  <si>
    <t>Melhoria Processo: Bomba recirculação espessadores</t>
  </si>
  <si>
    <t>A.S.D Atividades Fisicas e Fitnes</t>
  </si>
  <si>
    <t>RC 10001652 - Podium de Premiação (para uso no Viridis Fitness Day)</t>
  </si>
  <si>
    <t>67.607.454 FELIPE DETOFOLI VIEIRA</t>
  </si>
  <si>
    <t>RC 10001665 - Porta-retrato personalizado inauguração Programa RARO</t>
  </si>
  <si>
    <t>BluePex</t>
  </si>
  <si>
    <t>RC 10001669 - Firewall</t>
  </si>
  <si>
    <t>CAPEX</t>
  </si>
  <si>
    <t>Sherwin Williams do Brasil Industrial e Comercio Ltda</t>
  </si>
  <si>
    <t>Tintas para pintura do caminho seguro do CPTR</t>
  </si>
  <si>
    <t>Esvatech e Cia Comercio e Representacoes</t>
  </si>
  <si>
    <t>RC 10001722 - Fruteira Refeitório Argentina Mall</t>
  </si>
  <si>
    <t>Máximo Laboratório</t>
  </si>
  <si>
    <t>RC 10001723 - Tubos Falcon 15 mL para Laboratório – CPTR</t>
  </si>
  <si>
    <t>sim</t>
  </si>
  <si>
    <t>Fabiana Brinquedos</t>
  </si>
  <si>
    <t>RC 10001720 - Aluguel de Brinquedos Infláveis, pipoca e algodão doce para o Festival de Inverno</t>
  </si>
  <si>
    <t>RC 10001729 -  EPI - Kit Eco Florestal Genesis Capacete L340c Malha Plástica Adaptador Libus</t>
  </si>
  <si>
    <t>Dionezio Teixeira Bastos EPP</t>
  </si>
  <si>
    <t>NO PRAZO</t>
  </si>
  <si>
    <t>Aquisição de cantoneiras para suportes elétrica</t>
  </si>
  <si>
    <t>MKT</t>
  </si>
  <si>
    <t xml:space="preserve">Mais Você </t>
  </si>
  <si>
    <t>RC 10001728 - Patrocínio - Blusas Festival de Inverno | Marketing</t>
  </si>
  <si>
    <t>Boreal Embalagens</t>
  </si>
  <si>
    <t>RC 10001726 - Sacos plásticos para laboratório – CPTR</t>
  </si>
  <si>
    <t>SIM</t>
  </si>
  <si>
    <t>Magma Industria e Comercio de cafe Ltda</t>
  </si>
  <si>
    <t>RC 10001730 - Café Grãos</t>
  </si>
  <si>
    <t>BRUNEPACK COMERCIO DE EMBALAGENS</t>
  </si>
  <si>
    <t>Agrosul Ltda</t>
  </si>
  <si>
    <t>RC 10001725 - Reposição Café Argentina Mall</t>
  </si>
  <si>
    <t>Netlab Equipamentos para laboratorios Ltda</t>
  </si>
  <si>
    <t>RC 10001674 - Compra de Silica Gel Azul</t>
  </si>
  <si>
    <t>RC 10001715 - Reposição insumos para copa e limpeza – CPTR</t>
  </si>
  <si>
    <t>Caldasfer Ltda</t>
  </si>
  <si>
    <t>RC 10001733 - Tambores para transporte de minério – CPTR</t>
  </si>
  <si>
    <t>Tumei E-commerce Ltda</t>
  </si>
  <si>
    <t>RC 10001691 - Reposição Estoque Papelaria</t>
  </si>
  <si>
    <t>Papelaria Bompapel Ltda</t>
  </si>
  <si>
    <t>RC 10001724 - Materiais de Escritório – CPTR</t>
  </si>
  <si>
    <t>RC 10001717 - Reposição folha sulfite A4 – CPTR</t>
  </si>
  <si>
    <t>FINANCE</t>
  </si>
  <si>
    <t>ENGEP Engenharia e Perícia Ltda</t>
  </si>
  <si>
    <t>RC 10001748 - Laudo Técnico de Classificação Fiscal (NCM)</t>
  </si>
  <si>
    <t>BIG BAG LESTE PAULISTA LTDA</t>
  </si>
  <si>
    <t>RC 10001747 - Reposição Big Bags 1T - CPTR</t>
  </si>
  <si>
    <t>RC 10001742 - Cronômetros digitais para atividades laboratoriais e operacionais - CPTR</t>
  </si>
  <si>
    <t>Print Green</t>
  </si>
  <si>
    <t>RC 10001744 - Refil etiquetadora eletrônica - CPTR</t>
  </si>
  <si>
    <t>NELSON  BEZERRA BASTOS</t>
  </si>
  <si>
    <t>RC 10001752 - Abraçadeiras de nylon</t>
  </si>
  <si>
    <t>Copiativa</t>
  </si>
  <si>
    <t>RC 10001701 - Sinalização de segurança do CPTR</t>
  </si>
  <si>
    <t>Als Brasil ltda</t>
  </si>
  <si>
    <t>RC 10001608 - Coleta de Efluente - CPTR</t>
  </si>
  <si>
    <t>R.R. DE MORAES ART</t>
  </si>
  <si>
    <t>RC 10001754 - Armário de chaves</t>
  </si>
  <si>
    <t>RC 10001772 - Camisetas para o Edital Viridis + Comunidades</t>
  </si>
  <si>
    <t>Nogueira</t>
  </si>
  <si>
    <t>RC 10001774 - Porta Banner</t>
  </si>
  <si>
    <t>arajocelene</t>
  </si>
  <si>
    <t>spot</t>
  </si>
  <si>
    <t>RC 10001751 - Reposição de Estoque de EPIs - CPTR</t>
  </si>
  <si>
    <t>Prot Cap</t>
  </si>
  <si>
    <t>DV Óculos de Segurança</t>
  </si>
  <si>
    <t>RC 10001771 - Aquisição de óculos de segurança de grau para os colaboradores do CPTR</t>
  </si>
  <si>
    <t>Dinâmica Assessoria em Documentos</t>
  </si>
  <si>
    <t>RC 10001646 - Documentação p/ compra Ácido Clorídrico e Nítrico (PF, PC e Exército)</t>
  </si>
  <si>
    <t>Carolini Araujo</t>
  </si>
  <si>
    <t>RC 10001776 - Banner para Projetos Sociais apoiados pelo Edital Viridis + Comunidades</t>
  </si>
  <si>
    <t>RC 10001763 - 10 Licenças EndPoint BluePex</t>
  </si>
  <si>
    <t>Emplasul</t>
  </si>
  <si>
    <t>RC 10001766 - Compra emergencial IBCs - CPTR</t>
  </si>
  <si>
    <t>RC 10001755 - Corrente e cadeado para porteiras</t>
  </si>
  <si>
    <t>RC 10001775 - Aquisição de EPIS para reposição no estoque atividades Exploração</t>
  </si>
  <si>
    <t>Total Safety</t>
  </si>
  <si>
    <t>RC 10001781 - Higienização dos Equipamentos de Proteção Individual (EPIs) destinados ao uso de visitantes.</t>
  </si>
  <si>
    <t>Merli Lavanderia</t>
  </si>
  <si>
    <t>Fluid Brasil Sistemas e Tecnologia Ltda</t>
  </si>
  <si>
    <t>Membrana reserva PROXA - segunda compra</t>
  </si>
  <si>
    <t>Segregação de componentes químicos da PROXA - Segurança</t>
  </si>
  <si>
    <t>Adequações segurança PROXA</t>
  </si>
  <si>
    <t>LOTUS CENTRAL DE DISTRIBUICAO DE HIGIENICOS LTDA</t>
  </si>
  <si>
    <t>RC 10001757 - 02 Lixeiras 60L para o refeitório</t>
  </si>
  <si>
    <t>RC 10001812 - Botas de Segurança Anti Torção Marluvas CA 34.550</t>
  </si>
  <si>
    <t>RC 10001716 - Reposição tinta para impressora HP Laser Color – CPTR</t>
  </si>
  <si>
    <t>Casa Dos Parafusos Industrial Ltda</t>
  </si>
  <si>
    <t>Parafusos para modificação Hopper CPTR</t>
  </si>
  <si>
    <t>Anderson Aparecido Pinto</t>
  </si>
  <si>
    <t>RC 10001745 - Pilhas alcalinas AAA - CPTR</t>
  </si>
  <si>
    <t>Snf Brasil Comercial Quimica Ltda</t>
  </si>
  <si>
    <t>RC 10001743 - Floculante 913 para o processo produtivo - CPTR</t>
  </si>
  <si>
    <t>Bentley Systems Brasil Ltda</t>
  </si>
  <si>
    <t>RC 10001687 - Licença do MX Deposit</t>
  </si>
  <si>
    <t xml:space="preserve">J Macedo </t>
  </si>
  <si>
    <t>RC 10001582 - Sacos plásticos 50 x 70</t>
  </si>
  <si>
    <t>Nelson Bezerras Bastos</t>
  </si>
  <si>
    <t>RC 10001741 - Papel filtro e abraçadeiras de nylon para uso laboratorial - CPTR</t>
  </si>
  <si>
    <t>Pergorari comercio de embalagens ltda</t>
  </si>
  <si>
    <t>RC 10001740 - Embalagens para envio de amostras de MRECs - CPTR</t>
  </si>
  <si>
    <t>RC 10001789 - Itens de Limpeza - Argentina Mall</t>
  </si>
  <si>
    <t>Veronesi &amp; Filhos Ltda</t>
  </si>
  <si>
    <t>RC 10001735 - Blocos de requisição de combustível</t>
  </si>
  <si>
    <t>MINE PLANNING</t>
  </si>
  <si>
    <t>Sodre Miguel Ltda</t>
  </si>
  <si>
    <t>RC 10001788 - Caixa de Farinha</t>
  </si>
  <si>
    <t>Bomax no Brasil Equipamentos Industrial S/A</t>
  </si>
  <si>
    <t>Manutenção bomba pneumática Bomax</t>
  </si>
  <si>
    <t>Md Comercio de Ferramentas e Serviços Ltda</t>
  </si>
  <si>
    <t>REGULARIZAÇÃO - Serra Copo para Instalação Agitador Semco</t>
  </si>
  <si>
    <t>Caldas Fer Ltda</t>
  </si>
  <si>
    <t>RC 10001802 - Compra de 4 tambores de plástico 200L</t>
  </si>
  <si>
    <t>Watson Marlow</t>
  </si>
  <si>
    <t>Spare parts bombas CPTR</t>
  </si>
  <si>
    <t>VANGUARDA COMERCIAL HIDRO ELETRICA "LTDA"</t>
  </si>
  <si>
    <t>Ventilação forçada dos motores dos agitadores</t>
  </si>
  <si>
    <t>Infoshopr</t>
  </si>
  <si>
    <t>RC 10001822 - Suporte de projetor</t>
  </si>
  <si>
    <t>RC's recebidas
2026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</si>
  <si>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</si>
  <si>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</si>
  <si>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</si>
  <si>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</si>
  <si>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</si>
  <si>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</si>
  <si>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</si>
  <si>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</si>
  <si>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</si>
  <si>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</si>
  <si>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</si>
  <si>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</si>
  <si>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</si>
  <si>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OPEX</t>
  </si>
  <si>
    <t> </t>
  </si>
  <si>
    <t>RC's recebidas
2026 - URGENTES</t>
  </si>
  <si>
    <t>~59,1%</t>
  </si>
  <si>
    <t>RC's Status</t>
  </si>
  <si>
    <t>OPEX - Abertas</t>
  </si>
  <si>
    <t>OPEX - Concluídas</t>
  </si>
  <si>
    <t>CAPEX - Abertas</t>
  </si>
  <si>
    <t>CAPEX - Concluídas</t>
  </si>
  <si>
    <t>RC's recebidas
2026 REGULARIZAÇÃO</t>
  </si>
  <si>
    <t xml:space="preserve"> - </t>
  </si>
  <si>
    <t>Ano</t>
  </si>
  <si>
    <t>RC's
recebidas
OPEX</t>
  </si>
  <si>
    <t>RC's
recebidas
CAPEX</t>
  </si>
  <si>
    <t>TOTAL
RC's
recebidas</t>
  </si>
  <si>
    <t>CÓD. VIRIDIS
FORNECEDOR</t>
  </si>
  <si>
    <t>CATEGORIA
ATUALIZADA</t>
  </si>
  <si>
    <t>RAZÃO
SOCIAL</t>
  </si>
  <si>
    <t>NOME
FANTASIA</t>
  </si>
  <si>
    <t>CNPJ</t>
  </si>
  <si>
    <t>ENDEREÇO</t>
  </si>
  <si>
    <t>CIDADE</t>
  </si>
  <si>
    <t>UF</t>
  </si>
  <si>
    <t>CEP</t>
  </si>
  <si>
    <t>PAIS</t>
  </si>
  <si>
    <t>CONTATO PRINCIPAL</t>
  </si>
  <si>
    <t>TELEFONE</t>
  </si>
  <si>
    <t>E-MAIL</t>
  </si>
  <si>
    <t>COMPRA
INTERNET</t>
  </si>
  <si>
    <t>FORNECEDOR LOCAL</t>
  </si>
  <si>
    <t>Materiais e Suprimentos Industriais</t>
  </si>
  <si>
    <t>GOTAGUA FILTROS LTDA</t>
  </si>
  <si>
    <t>GOTAGUA</t>
  </si>
  <si>
    <t>06.298.134/0001--17</t>
  </si>
  <si>
    <t>Alameda Dona Tereza Cristina, 46 lloja</t>
  </si>
  <si>
    <t>SÃO BERNARDO DO CAMPO</t>
  </si>
  <si>
    <t>SP</t>
  </si>
  <si>
    <t>BRASIL</t>
  </si>
  <si>
    <t>Luiz Carlos Blasques Junior</t>
  </si>
  <si>
    <t>(11) 4123-6109</t>
  </si>
  <si>
    <t>atendimento@gotagua.com.br</t>
  </si>
  <si>
    <t>NÃO</t>
  </si>
  <si>
    <t>Equipamentos de Proteção Individual</t>
  </si>
  <si>
    <t>ALPHA ABRAS COMERCIO DE ABRASIVOS LTDA</t>
  </si>
  <si>
    <t>ALPHABRAS</t>
  </si>
  <si>
    <t>05.159.343/0001-56</t>
  </si>
  <si>
    <t>TRAVESSA CORONEL VIRGILIO SILVA, 102 BE, BASTOS</t>
  </si>
  <si>
    <t>POÇOS DE CALDAS</t>
  </si>
  <si>
    <t>MG</t>
  </si>
  <si>
    <t>Adriano</t>
  </si>
  <si>
    <t>(35) 99829-7179</t>
  </si>
  <si>
    <t>adriano.alphabras@gmail.com</t>
  </si>
  <si>
    <t>Softwares e Licenças</t>
  </si>
  <si>
    <t>D-SAAS TECNOLOGIA EM DESENVOLVIMENTO DE SOFTWARE LTDA</t>
  </si>
  <si>
    <t>DIMEP</t>
  </si>
  <si>
    <t>46.220.369/0001-00</t>
  </si>
  <si>
    <t>Avenida Mofarrej, n.º 840, 2º andar, Vila Leopoldina</t>
  </si>
  <si>
    <t>SÃO PAULO</t>
  </si>
  <si>
    <t>Marcelo Mariano</t>
  </si>
  <si>
    <t>(35) 98861-0140</t>
  </si>
  <si>
    <t>prontec.marcelo@uol.com.br</t>
  </si>
  <si>
    <t>Fornecimento de Produtos de Limpeza</t>
  </si>
  <si>
    <t>DISK LIMPEZA TOTAL LTDA</t>
  </si>
  <si>
    <t>DISK LIMPEZA</t>
  </si>
  <si>
    <t>10.757.521/0001-41</t>
  </si>
  <si>
    <t xml:space="preserve">R São Paulo, 276 Centro </t>
  </si>
  <si>
    <t>Luciano Dias</t>
  </si>
  <si>
    <t>(35) 3721-2647</t>
  </si>
  <si>
    <t>limpezatotal09@hotmail.com</t>
  </si>
  <si>
    <t>Fornecedores de Alimentação</t>
  </si>
  <si>
    <t>PAO DE MEL E BOMBOCADO LTDA EPP</t>
  </si>
  <si>
    <t>BOMBOCADO</t>
  </si>
  <si>
    <t>66.444.787/0003-50</t>
  </si>
  <si>
    <t>R Paraiba, 182 Centro</t>
  </si>
  <si>
    <t>Adriana</t>
  </si>
  <si>
    <t>(35) 9802-1949</t>
  </si>
  <si>
    <t xml:space="preserve"> </t>
  </si>
  <si>
    <t>PADARIA KI SABOR LTDA</t>
  </si>
  <si>
    <t>KI SABOR</t>
  </si>
  <si>
    <t>05.439.722/0001-60</t>
  </si>
  <si>
    <t>Avenida Espanha, 165 Parque das Naçoes</t>
  </si>
  <si>
    <t>Ana Cristina Pacheco</t>
  </si>
  <si>
    <t>(35) 3715-7404</t>
  </si>
  <si>
    <t xml:space="preserve"> padaria_padariakisabor@hotmail.com</t>
  </si>
  <si>
    <t>Corretora de Imóveis</t>
  </si>
  <si>
    <t>AINER GESTÃO DE NEGÓCIOS E AVALIAÇÕES LTDA</t>
  </si>
  <si>
    <t>CENER</t>
  </si>
  <si>
    <t>56.746.425/0001-07</t>
  </si>
  <si>
    <t>Rua Benedito Lobato, nº 634, apto 502, bairro São João,</t>
  </si>
  <si>
    <t>CONSELHEIRO LAFAIETE</t>
  </si>
  <si>
    <t>Kathrein Maia</t>
  </si>
  <si>
    <t>(31) 99797-0502</t>
  </si>
  <si>
    <t>KATHREINRM@HOTMAIL.COM</t>
  </si>
  <si>
    <t>Consultoria Técnica e Ambiental</t>
  </si>
  <si>
    <t>3EM-MINERACAO E GEOLOGIA LTDA-ME</t>
  </si>
  <si>
    <t>3EM</t>
  </si>
  <si>
    <t>27.584.269/0001-19</t>
  </si>
  <si>
    <t>Avenida Portugal, n.º 3250, loja 09 e 10, Pavimento 1, Bairro Jardim Atlântico</t>
  </si>
  <si>
    <t>BELO HORIZONTE</t>
  </si>
  <si>
    <t>Lúcio Miranda Camêlo</t>
  </si>
  <si>
    <t>(31) 99777-2049</t>
  </si>
  <si>
    <t>lucio@3emmg.com.br</t>
  </si>
  <si>
    <t>Telefonia e Planos Corporativos</t>
  </si>
  <si>
    <t>ALGAR TELECOM S/A</t>
  </si>
  <si>
    <t>ALGAR</t>
  </si>
  <si>
    <t>71.208.516/0001-74</t>
  </si>
  <si>
    <t>Rua José Alves Garcia, n.º 415, bairro Brasil</t>
  </si>
  <si>
    <t>UBERLÂNDIA</t>
  </si>
  <si>
    <t>Vagner Manoel</t>
  </si>
  <si>
    <t>(43) 98801-1100</t>
  </si>
  <si>
    <t>vagner.manoel@algarempresarial.com</t>
  </si>
  <si>
    <t>ALGER CONSULTORIA SOCIOAMBIENTAL LTDA</t>
  </si>
  <si>
    <t>ALGER</t>
  </si>
  <si>
    <t>40.586.743/0001-00</t>
  </si>
  <si>
    <t>Rua Sebastião Fabiano Dias, 210, Salas 701 a 708, Bairro Belvedere</t>
  </si>
  <si>
    <t>Regina Cruz</t>
  </si>
  <si>
    <t>(31) 99812-5747</t>
  </si>
  <si>
    <t>regina@algerconsultoria.com.br</t>
  </si>
  <si>
    <t>Marketing, Comunicação e Gráfica</t>
  </si>
  <si>
    <t>AMANDA CORRÊA DE MORAIS COSTA</t>
  </si>
  <si>
    <t>IDEOLOGICO</t>
  </si>
  <si>
    <t>34.686.648/0001-85</t>
  </si>
  <si>
    <t>Rua Papula Vermelha, 245, bairro Havaí</t>
  </si>
  <si>
    <t>Amanda Correa</t>
  </si>
  <si>
    <t>(31) 99107-4175</t>
  </si>
  <si>
    <t>contato@igeologico.com.br</t>
  </si>
  <si>
    <t>Coleta de Resíduos Comuns e Recicláveis</t>
  </si>
  <si>
    <t>ANTONIO APARECIDO ALMEIDA ME (CONEXÃO SA)</t>
  </si>
  <si>
    <t>CONEXAO AS</t>
  </si>
  <si>
    <t>30.386.654/0001-66</t>
  </si>
  <si>
    <t>Rua Pedro Marcante, n.º 10, apartamento 2, bairro Boa Esperança II,</t>
  </si>
  <si>
    <t xml:space="preserve">Antonio Aparecido Almeida </t>
  </si>
  <si>
    <t>(35) 99239-8501</t>
  </si>
  <si>
    <t>toninho@conexaosa.com</t>
  </si>
  <si>
    <t>Locação de Espaços e Equipamentos</t>
  </si>
  <si>
    <t>ARGENTINA MALL LTDA</t>
  </si>
  <si>
    <t>ARGENTINA MALL</t>
  </si>
  <si>
    <t>21.746.130/0001-48</t>
  </si>
  <si>
    <t>Rua Barros Cobra, nº 305, Conjunto 52, Sala 02 – Centro</t>
  </si>
  <si>
    <t>Fernanda Pereira</t>
  </si>
  <si>
    <t>(35) 99984-1552</t>
  </si>
  <si>
    <t>fernanda@evoluaimoveis.com.br</t>
  </si>
  <si>
    <t>Seguros</t>
  </si>
  <si>
    <t>AVLA SEGUROS BRASIL S.A. (GIFT SEGUROS)</t>
  </si>
  <si>
    <t>AVLA</t>
  </si>
  <si>
    <t>41.182.665/0001-40</t>
  </si>
  <si>
    <t>Rua Olimpíadas, nº 205, cj. nº. 32, Vila Olímpia</t>
  </si>
  <si>
    <t>Jhonattan de Oliveira</t>
  </si>
  <si>
    <t>(19) 99847-3338</t>
  </si>
  <si>
    <t>jhonattan@giftseguros.com</t>
  </si>
  <si>
    <t>BNA EQUIPAMENTOS E SISTEMAS DO BRASIL, COMÉRCIO, IMPORTACAO E EXPORTACAO LTDA</t>
  </si>
  <si>
    <t>BNA</t>
  </si>
  <si>
    <t>05.569.016/0001-33</t>
  </si>
  <si>
    <t>Rua Desembargador Leao Starling, n.º 200, bairro Ouro Preto</t>
  </si>
  <si>
    <t>Beck Nader</t>
  </si>
  <si>
    <t>(31) 98438-3411</t>
  </si>
  <si>
    <t>beckn@bnaconsultoria.com</t>
  </si>
  <si>
    <t>Escritório de Contabilidade</t>
  </si>
  <si>
    <t>CGC CONTABILIDADE GERAL E CONSULTORIA</t>
  </si>
  <si>
    <t>CGC</t>
  </si>
  <si>
    <t>65.165.649/0001-08</t>
  </si>
  <si>
    <t>Rua Professor Moraes, 476 - loja 04 - Bairro
Savassi</t>
  </si>
  <si>
    <t>Ricardo Santos</t>
  </si>
  <si>
    <t xml:space="preserve">(31) 99192-5133 </t>
  </si>
  <si>
    <t>ricardo@cgccontabilidade.com.br</t>
  </si>
  <si>
    <t>CLAM MEIO AMBIENTE LTDA</t>
  </si>
  <si>
    <t>CLAM</t>
  </si>
  <si>
    <t>08.803.534/0001-68</t>
  </si>
  <si>
    <t>Rua Sergipe, 1333, Sala 901, bairro Savassi</t>
  </si>
  <si>
    <t>Patricia Medeiros</t>
  </si>
  <si>
    <t>(31) 98379-2040</t>
  </si>
  <si>
    <t>patricia.medeiros@clam.com.br</t>
  </si>
  <si>
    <t>Canal de Ética</t>
  </si>
  <si>
    <t>COMPLIANCE TOTAL CONSULTORIA LTDA</t>
  </si>
  <si>
    <t>COMPLIANCE TOTAL</t>
  </si>
  <si>
    <t>52.312.652/0001-65</t>
  </si>
  <si>
    <t>Avenida Carlos Gomes, n.º 466, sala 501-B</t>
  </si>
  <si>
    <t>PORTO ALEGRE</t>
  </si>
  <si>
    <t>RS</t>
  </si>
  <si>
    <t xml:space="preserve">Marcelo Gomes </t>
  </si>
  <si>
    <t>(11) 95313-9874</t>
  </si>
  <si>
    <t>marcelo.gomes@compliancetotal.com.br</t>
  </si>
  <si>
    <t>CONTATO SEGURO PREVENÇÃO DE RISCOS EMPRESARIAIS LTDA</t>
  </si>
  <si>
    <t>CONTATO SEGURO</t>
  </si>
  <si>
    <t>10.916.727/0001-77</t>
  </si>
  <si>
    <t>Avenida Carlos Gomes, n.º 466, sala 501, bairro Auxiliadora</t>
  </si>
  <si>
    <t>Rodrigo Paraguassú</t>
  </si>
  <si>
    <t>(51) 99386-6330</t>
  </si>
  <si>
    <t>rodrigo.paraguassu@contatoseguro.com.br</t>
  </si>
  <si>
    <t>Transportes e Logística</t>
  </si>
  <si>
    <t>CORREIOS - EMPRESA BRASILEIRA DE CORREIOS E TELÉGRAFOS</t>
  </si>
  <si>
    <t>CORREIOS</t>
  </si>
  <si>
    <t>34.028.316/0001-03</t>
  </si>
  <si>
    <t>Rua Prefeito Chagas, 221</t>
  </si>
  <si>
    <t>Bruno Lopes Moraes</t>
  </si>
  <si>
    <t>(32) 99999-6073</t>
  </si>
  <si>
    <t>bruno.moraes@correios.com.br</t>
  </si>
  <si>
    <t>46.220.369/0002--91</t>
  </si>
  <si>
    <t>E.C.P ENGENHARIA, CONSULTORIA E PLANEJAMENTO AMBIENTAL LTDA</t>
  </si>
  <si>
    <t>ECP ENGENHARIA</t>
  </si>
  <si>
    <t>65.517.864/0001-20</t>
  </si>
  <si>
    <t>Rua Saracura, 130, Vila Vianna</t>
  </si>
  <si>
    <t>COTIA</t>
  </si>
  <si>
    <t>Flavio M. Galvao</t>
  </si>
  <si>
    <t xml:space="preserve">(11) 99618-0900   </t>
  </si>
  <si>
    <t>flavio@poluicao.com.br</t>
  </si>
  <si>
    <t>Locação de Veículos</t>
  </si>
  <si>
    <t>EBEC - EMPRESA BRASILEIRA DE ENGENHARIA E COMÉRCIO S.A.</t>
  </si>
  <si>
    <t>EBEC</t>
  </si>
  <si>
    <t>17.162.280/0001-37</t>
  </si>
  <si>
    <t>Avenida Barão Homem de Melo, 2681, salas 101 e 102, Estoril</t>
  </si>
  <si>
    <t>Vânia Lima</t>
  </si>
  <si>
    <t>(31) 99974-4599</t>
  </si>
  <si>
    <t>vania@ebec-sa.com.br</t>
  </si>
  <si>
    <t>Química e Análises Laboratoriais</t>
  </si>
  <si>
    <t>FACEPE – FUNDAÇÃO DE APOIO À CULTURA, ENSINO, PESQUISA E EXTENSÃO DE ALFENAS</t>
  </si>
  <si>
    <t>FACEPE</t>
  </si>
  <si>
    <t>25.657.149/0001-79</t>
  </si>
  <si>
    <t>Praça Dr. Emílio da Silveira, n.º 14, Prédio A</t>
  </si>
  <si>
    <t>ALFENAS</t>
  </si>
  <si>
    <t>Comercial</t>
  </si>
  <si>
    <t>(35) 9 9871-8014 / 8214 / 7236</t>
  </si>
  <si>
    <t>facepe@facepealfenas.org.br</t>
  </si>
  <si>
    <t>Locação de Container</t>
  </si>
  <si>
    <t>GTN - LOCACAO DE EQUIPAMENTOS LTDA</t>
  </si>
  <si>
    <t>GTN</t>
  </si>
  <si>
    <t>04.110.921/0001-68</t>
  </si>
  <si>
    <t>Avenida Alcoa, 6300, Jardim Kennedy</t>
  </si>
  <si>
    <t>(35) 3714-8655</t>
  </si>
  <si>
    <t>comercial@gtnlocacoes.com.br​</t>
  </si>
  <si>
    <t>Soft Skills e Treinamentos de Liderança</t>
  </si>
  <si>
    <t>HOPE ESCOLA DE NEGOCIOS LTDA</t>
  </si>
  <si>
    <t>ESCOLA HOPE</t>
  </si>
  <si>
    <t>38.355.899/0001-38</t>
  </si>
  <si>
    <t>Avenida Aracely de Paula, 1240, centro</t>
  </si>
  <si>
    <t>ARAXA</t>
  </si>
  <si>
    <t>Rafael Alves</t>
  </si>
  <si>
    <t>(34) 98863-5161</t>
  </si>
  <si>
    <t>rafael.alves@escolahope.com.br</t>
  </si>
  <si>
    <t>JAZIDA - GREEN STONE MINERACAO DE DADOS LTDA</t>
  </si>
  <si>
    <t>JAZIDA</t>
  </si>
  <si>
    <t>21.202.793/0001-00</t>
  </si>
  <si>
    <t>SHN Quadra 01, Conjunto A, Bloco A, Edifício Le Quartier - Asa Norte</t>
  </si>
  <si>
    <t>BRASILIA</t>
  </si>
  <si>
    <t>DF</t>
  </si>
  <si>
    <t xml:space="preserve">Elisa Araujo </t>
  </si>
  <si>
    <t>(61) 99851-7904</t>
  </si>
  <si>
    <t>earaujo@jazida.com</t>
  </si>
  <si>
    <t>Empresas de Terceirização de Limpeza</t>
  </si>
  <si>
    <t>JONATHAN FELIPE SCHMIDT (JFS LIMPEZA)</t>
  </si>
  <si>
    <t>JONATHAN</t>
  </si>
  <si>
    <t>31.804.831/0001-40</t>
  </si>
  <si>
    <t>Rua Capitão Afonso Junqueira, n.º 370, apto 1204</t>
  </si>
  <si>
    <t xml:space="preserve">Jonh Schmidt </t>
  </si>
  <si>
    <t>(35) 99176-5529</t>
  </si>
  <si>
    <t>jfelipe609@gmail.com</t>
  </si>
  <si>
    <t>Clínicas de Medicina do Trabalho</t>
  </si>
  <si>
    <t>L.C.B - ATIVIDADES MEDICAS EIRELI</t>
  </si>
  <si>
    <t>MEDNET</t>
  </si>
  <si>
    <t>36.608.298/0001-64</t>
  </si>
  <si>
    <t>Rua Pernambuco, 444, Centro - Sala 4</t>
  </si>
  <si>
    <t xml:space="preserve">Aline Dias </t>
  </si>
  <si>
    <t>(35) 99670-1143</t>
  </si>
  <si>
    <t>com01@mednet-pocoscaldas.com.br</t>
  </si>
  <si>
    <t>Monitoramento Eletrônico (Câmeras e Alarmes)</t>
  </si>
  <si>
    <t>LARISSA S. RODRIGUES - ME (LOTUS)</t>
  </si>
  <si>
    <t>LOTUS</t>
  </si>
  <si>
    <t>14.022.179/0001-92</t>
  </si>
  <si>
    <t>Av. Juscelino Kubitscheck de Oliveira, 46 - Parque Vivaldi Leite Ribeiro</t>
  </si>
  <si>
    <t>37701-186</t>
  </si>
  <si>
    <t>Amanda Del Sarto</t>
  </si>
  <si>
    <t>(35) 99829-0087</t>
  </si>
  <si>
    <t>administrativo@centraldemonitoramento24hs.com.br</t>
  </si>
  <si>
    <t>MAPFRE SEGUROS GERAIS S.A (AJG)</t>
  </si>
  <si>
    <t>MAPFRE</t>
  </si>
  <si>
    <t>61.074.175/0001-38</t>
  </si>
  <si>
    <t>Av. das Naçoes Unidas, 14.261 - ALA A, Vila Gertrudes</t>
  </si>
  <si>
    <t>Eduarda Guido</t>
  </si>
  <si>
    <t xml:space="preserve">(11) 96596-7644  </t>
  </si>
  <si>
    <t>Eduarda_Guido@ajg.com&gt;</t>
  </si>
  <si>
    <t>MDGEO SERVIÇOS DE HIDREOLOGIA LTDA</t>
  </si>
  <si>
    <t>MDGEO</t>
  </si>
  <si>
    <t>38.625.927/0001-90</t>
  </si>
  <si>
    <t>Rua Santa Bárbara, nº 162, Sagrada Família</t>
  </si>
  <si>
    <t>Daniel Coelho</t>
  </si>
  <si>
    <t>(31) 3482-9959</t>
  </si>
  <si>
    <t>Daniel.Coelho@mdgeo.com.br</t>
  </si>
  <si>
    <t>Serviços Jurídicos e de Compliance</t>
  </si>
  <si>
    <t>MENDES E BARSI SOCIEDADE DE ADVOGADOS</t>
  </si>
  <si>
    <t>MENDES E BARSI</t>
  </si>
  <si>
    <t>35.377.825/0001-04</t>
  </si>
  <si>
    <t>Rua Prefeito Chagas, n.º 489, sala 01, centro,</t>
  </si>
  <si>
    <t>Marcinha / Pri</t>
  </si>
  <si>
    <t>(35) 99129-7700 / (35) 99779-9000</t>
  </si>
  <si>
    <t>juridico@viridismining.com.au</t>
  </si>
  <si>
    <t>PROMINAS PROJETOS E SERVIÇOS DE MINERAÇÃO LTDA</t>
  </si>
  <si>
    <t>PROMINAS</t>
  </si>
  <si>
    <t>01.955.849/0001-81</t>
  </si>
  <si>
    <t>Rua Paraíba, n.º 1465, sala 1101, 11º andar, bairro Savassi</t>
  </si>
  <si>
    <t>Marlos Roges</t>
  </si>
  <si>
    <t>(31) 3497-4274</t>
  </si>
  <si>
    <t>marlos.roges@prominasmining.com</t>
  </si>
  <si>
    <t>Programas de Educação e Impacto Social</t>
  </si>
  <si>
    <t>RHINO PRODUÇOES LTDA</t>
  </si>
  <si>
    <t>O MUNDO DE RHINO</t>
  </si>
  <si>
    <t>55.962.620/0001-01</t>
  </si>
  <si>
    <t>Rua Capitão Afonso Junqueira, nº 240, Complemento 53, Centro</t>
  </si>
  <si>
    <t>Marco Noronha</t>
  </si>
  <si>
    <t>(35) 98821-1661</t>
  </si>
  <si>
    <t>omundorhino@gmail.com</t>
  </si>
  <si>
    <t>Tecnologia da Informação (TI)</t>
  </si>
  <si>
    <t>RONAN LEITE CHIMINAZO</t>
  </si>
  <si>
    <t>RONAN</t>
  </si>
  <si>
    <t>54.737.662/0001-78</t>
  </si>
  <si>
    <t>Av. Jaçanã Musa dos Santos, n.º 405, bairro Conjunto Habitacional</t>
  </si>
  <si>
    <t>Ronan Chiminazzo</t>
  </si>
  <si>
    <t>(35) 99199-5615</t>
  </si>
  <si>
    <t>ronanlc@4techinformatica.com.br</t>
  </si>
  <si>
    <t>SEEQUENT - BENTLEY SYSTEMS BRASIL LTDA.</t>
  </si>
  <si>
    <t>SEEQUENT</t>
  </si>
  <si>
    <t>01.712.235/0001-79</t>
  </si>
  <si>
    <t>Avenida Paulista, 2537 – Bela Vista - 9 andar, sala 09-114</t>
  </si>
  <si>
    <t>Ana Pinheiro</t>
  </si>
  <si>
    <t>(31) 99089-3270</t>
  </si>
  <si>
    <t>Ana.Pinheiro@seequent.com</t>
  </si>
  <si>
    <t>SENAI - SERVIÇO NACIONAL DE APRENDIZAGEM INDUSTRIAL</t>
  </si>
  <si>
    <t>SENAI</t>
  </si>
  <si>
    <t>03.773.700/0026-65</t>
  </si>
  <si>
    <t>Rua Pedro Barbosa, n.º 600, bairro Monte Verde</t>
  </si>
  <si>
    <t xml:space="preserve">Gustavo Costa Mendes </t>
  </si>
  <si>
    <t>(35) 3729-2613</t>
  </si>
  <si>
    <t>gc.mendes@fiemg.com.br</t>
  </si>
  <si>
    <t>SIEVERT LABORATÓRIO E SERVIÇOS AMBIENTAIS LTDA,</t>
  </si>
  <si>
    <t>SIEVERT</t>
  </si>
  <si>
    <t>06.960.855/0001-40</t>
  </si>
  <si>
    <t>Rua Olavio Virgílio dos Santos, n.º 31, bairro Vila Califórnia</t>
  </si>
  <si>
    <t>Priscila Nogueira</t>
  </si>
  <si>
    <t xml:space="preserve">(19) 98455-9001 </t>
  </si>
  <si>
    <t>vendas@glplab.com.br</t>
  </si>
  <si>
    <t>TERRAPLENAGEM PAULA E COSTA LTDA ME</t>
  </si>
  <si>
    <t>PAULA E COSTA</t>
  </si>
  <si>
    <t>11.009.825/0001-93</t>
  </si>
  <si>
    <t>Avenida Doutor Ubirajara Machado de Moraes, n.º 636, bairro Jd. Nova Aparecida</t>
  </si>
  <si>
    <t>Wilson Reis</t>
  </si>
  <si>
    <t>(35) 99191-0061</t>
  </si>
  <si>
    <t>pcterraplanagem@hotmail.com</t>
  </si>
  <si>
    <t>VSTAY GESTAO IMOBILIARIA LTDA</t>
  </si>
  <si>
    <t>VSTAY</t>
  </si>
  <si>
    <t>53.709.633/0001-30</t>
  </si>
  <si>
    <t>Rua Capitão Afonso Junqueira, 290, Sala 05, Centro</t>
  </si>
  <si>
    <t>Thiago Muniz</t>
  </si>
  <si>
    <t>(35) 98401-9369</t>
  </si>
  <si>
    <t>thiago@construtoravital.com</t>
  </si>
  <si>
    <t>SEMPRE EDITORA LTDA</t>
  </si>
  <si>
    <t>JORNAL O TEMPO</t>
  </si>
  <si>
    <t>26.198.515/0004-84</t>
  </si>
  <si>
    <t>Avenida Babita Camargos, 1645 Cidade Industrial</t>
  </si>
  <si>
    <t>CONTAGEM</t>
  </si>
  <si>
    <t>Mirian Andrade</t>
  </si>
  <si>
    <t>(31) 8347-8576</t>
  </si>
  <si>
    <t>mirian.santo@otempo.com.br</t>
  </si>
  <si>
    <t>Locação de Firewall</t>
  </si>
  <si>
    <t>BLUEPEX TECNOLOGIA S.A.</t>
  </si>
  <si>
    <t>BLUEPEX</t>
  </si>
  <si>
    <t>02.227.843/0001-50</t>
  </si>
  <si>
    <t>Rua Wilson Vitório Coletta, 157</t>
  </si>
  <si>
    <t>LIMEIRA</t>
  </si>
  <si>
    <t>(35) 98818-2228</t>
  </si>
  <si>
    <t>larissa.venancio@bluepex.com</t>
  </si>
  <si>
    <t>SODRE MIGUEL LTDA</t>
  </si>
  <si>
    <t>SAN MICHEL</t>
  </si>
  <si>
    <t>19.709.344/0001-00</t>
  </si>
  <si>
    <t>Rua Pernambuco, 1000 Centro</t>
  </si>
  <si>
    <t>(35) 3729-1515</t>
  </si>
  <si>
    <t>SOUZA &amp; MONTEIRO LTDA</t>
  </si>
  <si>
    <t>LOJA DO VARAL</t>
  </si>
  <si>
    <t>03.208.846/0001-00</t>
  </si>
  <si>
    <t>Rua Correa Neto, 256 Centro</t>
  </si>
  <si>
    <t>(35) 3714-1777</t>
  </si>
  <si>
    <t>SUPRITEC TECNOLOGIA EM SEGURANÇA LTDA</t>
  </si>
  <si>
    <t>SUPRITEC</t>
  </si>
  <si>
    <t>08.268.970/0004-27</t>
  </si>
  <si>
    <t>Rua Vereador Joao Siqueira Loyola, Jd Campos Eliseos</t>
  </si>
  <si>
    <t>Guilherme</t>
  </si>
  <si>
    <t>(35) 9811-2215</t>
  </si>
  <si>
    <t>guilherme.faria@gruposupritec.com.br</t>
  </si>
  <si>
    <t>Fornecimento de Combustíveis e Lubrificantes</t>
  </si>
  <si>
    <t xml:space="preserve">MAXIMA SHOP </t>
  </si>
  <si>
    <t>MAXIMASHOP. COM COMERCIAL EIRELI</t>
  </si>
  <si>
    <t>15.392.064/0001-52</t>
  </si>
  <si>
    <t>Rua Antonio Coelho dos Santos, 37 Boqueirao</t>
  </si>
  <si>
    <t>CURITIBA</t>
  </si>
  <si>
    <t>PR</t>
  </si>
  <si>
    <t xml:space="preserve"> (41) 8807-7755</t>
  </si>
  <si>
    <t>CENTERNARIO EXPRESS</t>
  </si>
  <si>
    <t>CENTENARIO EXPRESS LTDA</t>
  </si>
  <si>
    <t>56.908.192/0001-93</t>
  </si>
  <si>
    <t>Rua Argentina, 455 Jd Quisisana</t>
  </si>
  <si>
    <t>LOGMAIS ETIQUETAS ADESIVAS LTDA</t>
  </si>
  <si>
    <t>LOGGMAIS</t>
  </si>
  <si>
    <t>42.287.977/0001-81</t>
  </si>
  <si>
    <t>Rua Vicente de Carvalho, 134 Sala 1</t>
  </si>
  <si>
    <t>CAMBUCI</t>
  </si>
  <si>
    <t>TUDO SOBRE ELETRONICOS LTDA</t>
  </si>
  <si>
    <t>55.602.536/0001-79</t>
  </si>
  <si>
    <t>Rua Manuel Gaya, 620 CP 13014, Vila Nova Mazzei</t>
  </si>
  <si>
    <t>Brindes</t>
  </si>
  <si>
    <t>TUDO BR DISTRIBUIDORA LTDA</t>
  </si>
  <si>
    <t>37.196.468/0001-03</t>
  </si>
  <si>
    <t xml:space="preserve">Rua Cristo Redentor, 699 Vila Rezende </t>
  </si>
  <si>
    <t>PIRACICABA</t>
  </si>
  <si>
    <t>MCR TOTTI LTDA</t>
  </si>
  <si>
    <t>25.958.668/0002-58</t>
  </si>
  <si>
    <t>Via Anhanguera S/N KM 25.5 Lateral 1</t>
  </si>
  <si>
    <t>COPIATIVA DIGITAL</t>
  </si>
  <si>
    <t>VERONESI &amp; FILHOS LTDA</t>
  </si>
  <si>
    <t>25.853.615/0002-72</t>
  </si>
  <si>
    <t>Rua Santa Catarina, 184 Centro</t>
  </si>
  <si>
    <t xml:space="preserve">Gabriel </t>
  </si>
  <si>
    <t>(35) 8707-1252</t>
  </si>
  <si>
    <t>producao@copiativadigital.com.br</t>
  </si>
  <si>
    <t>PLASTIPOCOS</t>
  </si>
  <si>
    <t>PLASTIPOCOS LTDA</t>
  </si>
  <si>
    <t>64.474.380/0001-89</t>
  </si>
  <si>
    <t xml:space="preserve">Rua Pernambuco Mercado Municipal, SN LJ 5 31-32 Centro </t>
  </si>
  <si>
    <t>(35) 9670-2163</t>
  </si>
  <si>
    <t>EPIs e EPCs</t>
  </si>
  <si>
    <t>MG GLOVERS</t>
  </si>
  <si>
    <t>MG GLOVERS IND. E COM. DE EPI E SUPRIMENTOS INDUSTRIAIS LTDA</t>
  </si>
  <si>
    <t>27.510.292/0001-69</t>
  </si>
  <si>
    <t xml:space="preserve">Rua Maestro Fransciso Nistico, 46 Unid. 04 São Vicente </t>
  </si>
  <si>
    <t>ITAJUBA</t>
  </si>
  <si>
    <t>(35) 2143-1249</t>
  </si>
  <si>
    <t>DELL</t>
  </si>
  <si>
    <t>DELL COMPUTADORES DO BRASIL LTDA</t>
  </si>
  <si>
    <t>72.381.189/0010-01</t>
  </si>
  <si>
    <t>Avenida da Emancipacao, 5000 Parte B Parque dos Pinheiros</t>
  </si>
  <si>
    <t>HORTOLANDIA</t>
  </si>
  <si>
    <t>Brenda Valenthyna</t>
  </si>
  <si>
    <t>(11) 98928-8870</t>
  </si>
  <si>
    <t>brenda.valenthyna@dell.com</t>
  </si>
  <si>
    <t>GEOTRACK</t>
  </si>
  <si>
    <t>GEOTRACK COMERCIO IMPORTACAO E DISTRIBUICAO LTDA</t>
  </si>
  <si>
    <t>07.560.148/0001-20</t>
  </si>
  <si>
    <t>Avenida Olimpio Prates, 577 Letra A Major Prates</t>
  </si>
  <si>
    <t>MONTES CLAROS</t>
  </si>
  <si>
    <t>(38) 3216-1715</t>
  </si>
  <si>
    <t>RAIA DROGASIL S/A</t>
  </si>
  <si>
    <t>61.585.865/1318-41</t>
  </si>
  <si>
    <t xml:space="preserve">Avenida Santo Antonio, 252 Jardim Cascatinha </t>
  </si>
  <si>
    <t>(35) 99805-0887</t>
  </si>
  <si>
    <t>VICOM TECNOLOGIA</t>
  </si>
  <si>
    <t>VICOM TECNOLOGIA BRASIL LTDA</t>
  </si>
  <si>
    <t>19.467.066/0001-14</t>
  </si>
  <si>
    <t>Avenida das Americas, 3443</t>
  </si>
  <si>
    <t xml:space="preserve">RIO DE JANEIRO </t>
  </si>
  <si>
    <t>RJ</t>
  </si>
  <si>
    <t>Victor</t>
  </si>
  <si>
    <t>(21) 96435-7164</t>
  </si>
  <si>
    <t>ART PEL</t>
  </si>
  <si>
    <t>PAPELARIA BOMPAPEL LTDA</t>
  </si>
  <si>
    <t>71.332.779/0001-90</t>
  </si>
  <si>
    <t xml:space="preserve">Rua Rio de Janeiro, 121 Centro </t>
  </si>
  <si>
    <t>Camila</t>
  </si>
  <si>
    <t>(35) 8468-3833</t>
  </si>
  <si>
    <t>gerenciabp@hotmail.com</t>
  </si>
  <si>
    <t>BRASIL MINAS UNIFORMES</t>
  </si>
  <si>
    <t>BRASIL MINAS UNIFORMES PROFISSIONAIS LTDA</t>
  </si>
  <si>
    <t>71.424.998/0001-08</t>
  </si>
  <si>
    <t xml:space="preserve">Rua Castro Alves, 2605 Irmaos Auler </t>
  </si>
  <si>
    <t>ITAUNA</t>
  </si>
  <si>
    <t>Tainara</t>
  </si>
  <si>
    <t>(37) 9908-6346</t>
  </si>
  <si>
    <t>tainara.oliveira@brasilminasuniformes.com.br</t>
  </si>
  <si>
    <t>LUCIENY MARQUES SANTOS</t>
  </si>
  <si>
    <t xml:space="preserve">TRIGO BOM </t>
  </si>
  <si>
    <t>20.299.217/0001-51</t>
  </si>
  <si>
    <t>Rua Jose Augusto de Carvalho, 15 São Jose</t>
  </si>
  <si>
    <t>(35) 99700-6990</t>
  </si>
  <si>
    <t>CHUBB SEGUROS BRASIL S.A.</t>
  </si>
  <si>
    <t>CHUBB</t>
  </si>
  <si>
    <t>33.170.085/0001-05</t>
  </si>
  <si>
    <t>Av. Rebouças, 3.970, 25° ao 28° andares</t>
  </si>
  <si>
    <t>Diego / Quéren</t>
  </si>
  <si>
    <t xml:space="preserve">(31) 99438 7933 </t>
  </si>
  <si>
    <t>Diego.Antonio@marsh.com</t>
  </si>
  <si>
    <t>Chaveiro</t>
  </si>
  <si>
    <t>CHAVEIRO ALERTA LTDA</t>
  </si>
  <si>
    <t>CHAVEIRO ALERTA</t>
  </si>
  <si>
    <t>14.973.819/0002-20</t>
  </si>
  <si>
    <t>Rua Assis Figueiredo, 791, Centro</t>
  </si>
  <si>
    <t>(35)3722-6355</t>
  </si>
  <si>
    <t>AGUAS MINEIRAIS POCOS DE CALDAS LTDA</t>
  </si>
  <si>
    <t>AGUA POCOS DE CALDAS</t>
  </si>
  <si>
    <t>19.567.510/0001-73</t>
  </si>
  <si>
    <t>Rua Piaui, 2 Centro</t>
  </si>
  <si>
    <t xml:space="preserve">Glaucia </t>
  </si>
  <si>
    <t>(35) 98848-3116</t>
  </si>
  <si>
    <t>comercial@aguapocosdecaldas.com.br</t>
  </si>
  <si>
    <t>Recuperação de Áreas Degradadas</t>
  </si>
  <si>
    <t>MADEIREIRA IRMAOS FIGUEIREDO LTDA</t>
  </si>
  <si>
    <t>MADEIREIRA IRMAOS FIGUEIREDO</t>
  </si>
  <si>
    <t>20.364.220/0001-01</t>
  </si>
  <si>
    <t>Rua Senador Salgado Filho, 765 Jd Country Club</t>
  </si>
  <si>
    <t>Paulo</t>
  </si>
  <si>
    <t>(35) 9671-7556</t>
  </si>
  <si>
    <t>CAROLINI CRISTINA ARAUJO DE SOUZA</t>
  </si>
  <si>
    <t>MASTERS</t>
  </si>
  <si>
    <t>54.924.086/0001-78</t>
  </si>
  <si>
    <t>Rua Barao do Campo Mistico, 80 Comercio 301 Bairro dos Funcionarios</t>
  </si>
  <si>
    <t>Carolini</t>
  </si>
  <si>
    <t>(35) 9106-5670</t>
  </si>
  <si>
    <t>Mobiliário e Infraestrutura</t>
  </si>
  <si>
    <t>CONTABILISTA SUPRIMENTOS PARA ESCRITORIO S/A</t>
  </si>
  <si>
    <t>77.765.840/0001-70</t>
  </si>
  <si>
    <t>Rua Jose Batista dos Santos, 2951 Cidade Industrial</t>
  </si>
  <si>
    <t>(41) 3330-8000</t>
  </si>
  <si>
    <t>faleconosco@contabilista.com.br</t>
  </si>
  <si>
    <t>PAULINERIS TRANSPORTES E ENCOMENDAS LT</t>
  </si>
  <si>
    <t>PAULINERIS</t>
  </si>
  <si>
    <t>42.846.634/0001-00</t>
  </si>
  <si>
    <t>Rua Tatuim, 305 Vila Teixeira</t>
  </si>
  <si>
    <t>Ramon</t>
  </si>
  <si>
    <t>(31) 2104-5677</t>
  </si>
  <si>
    <t>SIMCO</t>
  </si>
  <si>
    <t>25.853.615/0001-91</t>
  </si>
  <si>
    <t>Rua São Paulo, 251 Centro</t>
  </si>
  <si>
    <t>(35) 8707-1253</t>
  </si>
  <si>
    <t>simcocopiadora@hotmail.com</t>
  </si>
  <si>
    <t>MATHEUS RESENDE VICENTINI</t>
  </si>
  <si>
    <t>MAAT GE</t>
  </si>
  <si>
    <t>45.441.585/0001-13</t>
  </si>
  <si>
    <t>Rua Batista de Castro, 107, Vila Santa Teresinha</t>
  </si>
  <si>
    <t>SAO JOAO DEL REI</t>
  </si>
  <si>
    <t>36305-190</t>
  </si>
  <si>
    <t>Leandro</t>
  </si>
  <si>
    <t>(31) 99177-1321</t>
  </si>
  <si>
    <t>maat.ge@outlook.com</t>
  </si>
  <si>
    <t>DOCUSIGN BRASIL SOLUCOES EM TECNOLOGIA LTDA</t>
  </si>
  <si>
    <t>DOCUSIGN</t>
  </si>
  <si>
    <t>18.520.848/0001-07</t>
  </si>
  <si>
    <t>Avenida Jornalista Roberto Marinho, 85 - Cidade Moncoes</t>
  </si>
  <si>
    <t>04576-010</t>
  </si>
  <si>
    <t>Carolina Ogando</t>
  </si>
  <si>
    <t>(11) 3330-1000</t>
  </si>
  <si>
    <t>carolina.ogando@docusign.com</t>
  </si>
  <si>
    <t>Manutenção Industrial e Mecânica</t>
  </si>
  <si>
    <t>PONTUAL MARTINS LTDA</t>
  </si>
  <si>
    <t>GRAND PNEUS</t>
  </si>
  <si>
    <t>09.343.660/0003-01</t>
  </si>
  <si>
    <t>Avenida João Pinheiro, 777 Campo da Mogiana</t>
  </si>
  <si>
    <t xml:space="preserve">Carla </t>
  </si>
  <si>
    <t>(35) 9912-7084</t>
  </si>
  <si>
    <t>SUPERM IRMAOS ALEMIDA CENTRO LTDA</t>
  </si>
  <si>
    <t>SUPERMERCADO IRMAOS ALMEIDA</t>
  </si>
  <si>
    <t>22.251.565/0001-84</t>
  </si>
  <si>
    <t xml:space="preserve">Rua Paraiba, 805 Centro </t>
  </si>
  <si>
    <t>MARTINS E DAMAS LTDA</t>
  </si>
  <si>
    <t>ROTINA CAFÉ</t>
  </si>
  <si>
    <t>42.945.428/0001-57</t>
  </si>
  <si>
    <t>Rua Itabira, 49 Cristiano Osorio</t>
  </si>
  <si>
    <t>(35) 8880-0422</t>
  </si>
  <si>
    <t>MART MINAS DISTRIBUIÇAO LTDA</t>
  </si>
  <si>
    <t>MART MINAS</t>
  </si>
  <si>
    <t>04.737.552/00042-06</t>
  </si>
  <si>
    <t xml:space="preserve">Avenida Alcoa, 1113 Jardim Paraiso </t>
  </si>
  <si>
    <t>LAYOUT GRAFICA RAPIDA LTDA</t>
  </si>
  <si>
    <t>LAYOUT</t>
  </si>
  <si>
    <t>07.761.129/0001-61</t>
  </si>
  <si>
    <t>Rua Prefeito Chagas, 81 Escritorio Centro</t>
  </si>
  <si>
    <t>Celso</t>
  </si>
  <si>
    <t>(35) 3721-1838</t>
  </si>
  <si>
    <t>layoutgr@layoutgr.com.br</t>
  </si>
  <si>
    <t>EMBALAGENS BR LTDA</t>
  </si>
  <si>
    <t>EMBALAGENS BR LTFA</t>
  </si>
  <si>
    <t>37.263.044/0001-14</t>
  </si>
  <si>
    <t>Rua Presidente Rosevelt, 327 Jardim Cascatinha</t>
  </si>
  <si>
    <t>Flávia</t>
  </si>
  <si>
    <t>(35) 9197-2869</t>
  </si>
  <si>
    <t>flaviasgprocopio@hotmail.com</t>
  </si>
  <si>
    <t>PROPORSOM AUDIOVISUAL LTDA</t>
  </si>
  <si>
    <t>PROPOSOM</t>
  </si>
  <si>
    <t>12.600.572/0001-90</t>
  </si>
  <si>
    <t>Rua Humberto Corigliano, 302 Jardim Aeroporto</t>
  </si>
  <si>
    <t>Antônio</t>
  </si>
  <si>
    <t>(35) 9987-1519</t>
  </si>
  <si>
    <t>PS EMPILHADEIRAS LTDA ME</t>
  </si>
  <si>
    <t>PS EMPILHADEIRAS</t>
  </si>
  <si>
    <t>08.620.006/0001-73</t>
  </si>
  <si>
    <t>Rua Sem Denominação (Rod. Mitsui), 2143, Fazenda Campo Alegre</t>
  </si>
  <si>
    <t>(35) 9193-4137</t>
  </si>
  <si>
    <t>Serviços de Reformas e Manutenção de Escritórios</t>
  </si>
  <si>
    <t>RNG COMERCIO DE MOVEIS E DECORACAO LTDA</t>
  </si>
  <si>
    <t>INNOVA PLANEJADOS</t>
  </si>
  <si>
    <t>20.207.682/0001-15</t>
  </si>
  <si>
    <t>Avenida João Pinheiro, 225 Centro</t>
  </si>
  <si>
    <t>Raphael</t>
  </si>
  <si>
    <t>(35) 99191-7750</t>
  </si>
  <si>
    <t>JM CHAVEIROS LTDA ME</t>
  </si>
  <si>
    <t>JM CHAVEIROS</t>
  </si>
  <si>
    <t>17.251.475/0001-53</t>
  </si>
  <si>
    <t>Rua Assis Figureiredo, 1220 Loja 01</t>
  </si>
  <si>
    <t>(35) 4141-2280</t>
  </si>
  <si>
    <t>CANVA PTY. LTDA</t>
  </si>
  <si>
    <t>CANVA</t>
  </si>
  <si>
    <t>110 Kippax St. Surry Hills NSW 2010 Australia</t>
  </si>
  <si>
    <t>SIDNEY</t>
  </si>
  <si>
    <t>SE</t>
  </si>
  <si>
    <t>AUSTRALIA</t>
  </si>
  <si>
    <t>COMPANHIA DA LIMPEZA LTDA</t>
  </si>
  <si>
    <t>LIMPEZA &amp; CIA</t>
  </si>
  <si>
    <t>14.302.235/0001-42</t>
  </si>
  <si>
    <t>Av Francisco Salles, 998</t>
  </si>
  <si>
    <t xml:space="preserve"> (35) 3714-7096</t>
  </si>
  <si>
    <t>GILSON ALVES RODRIGUES</t>
  </si>
  <si>
    <t>59.818.345/0001-08</t>
  </si>
  <si>
    <t>Gilson</t>
  </si>
  <si>
    <t>(35) 9840-9969</t>
  </si>
  <si>
    <t>FITASUL - PRODUTOS DE EMBALAGEM LTDA</t>
  </si>
  <si>
    <t>18.164.603/0001-94</t>
  </si>
  <si>
    <t>Rua Rio Amazonas, 383 Weissopolis</t>
  </si>
  <si>
    <t>PINHAIS</t>
  </si>
  <si>
    <t>83322-040</t>
  </si>
  <si>
    <t>(41) 99270-7812</t>
  </si>
  <si>
    <t>MARCELINO E MARCELINO LTDA ME</t>
  </si>
  <si>
    <t>SUPER 1,99 DO TCHE</t>
  </si>
  <si>
    <t>06.296.601/0001-70</t>
  </si>
  <si>
    <t xml:space="preserve">Rua Marechal Deodoro, 50/54 Centro </t>
  </si>
  <si>
    <t>37701-014</t>
  </si>
  <si>
    <t>(35) 3721-8444</t>
  </si>
  <si>
    <t>19.709.344/0010-93</t>
  </si>
  <si>
    <t>Avenida Irradiação, 155 Jardim Quisisana</t>
  </si>
  <si>
    <t>JOANAS LANCHONETE E EVENTOS LTDA</t>
  </si>
  <si>
    <t>JOANAS</t>
  </si>
  <si>
    <t>53.099.751/0001-73</t>
  </si>
  <si>
    <t>Avenida Professor Magda Pinto Amarante, 72 Jardim Hortencia</t>
  </si>
  <si>
    <t>37705-000</t>
  </si>
  <si>
    <t>Nathalia</t>
  </si>
  <si>
    <t>(35) 9148-3309</t>
  </si>
  <si>
    <t>CORDEIRO E RAMOS LTDA EPP</t>
  </si>
  <si>
    <t>PAO PAO</t>
  </si>
  <si>
    <t>09.161.981/0001-23</t>
  </si>
  <si>
    <t>Rua Assis Figureiredo, 00215 Centro</t>
  </si>
  <si>
    <t>37701-000</t>
  </si>
  <si>
    <t>(35) 3734-1099</t>
  </si>
  <si>
    <t>CHEGOU STORE LTDA</t>
  </si>
  <si>
    <t>50.057.704/0001-79</t>
  </si>
  <si>
    <t>Avenida Professora Carmem Carneiro, 1110 Sala 1 Parque Aeroporto Campos dos Goytacazes</t>
  </si>
  <si>
    <t>(22) 99877-0201</t>
  </si>
  <si>
    <t>IDEAL EMBALAGENS FESTAS PIOLI LTDA</t>
  </si>
  <si>
    <t>36.665.802/0001-68</t>
  </si>
  <si>
    <t>Rua Correa Neto, 566 Centro</t>
  </si>
  <si>
    <t>(35) 3414-4667</t>
  </si>
  <si>
    <t>Alojamentos e Hospedagem de Trabalhadores</t>
  </si>
  <si>
    <t>BORGETTHI &amp; QUINTEIRO HOTEIS LTDA</t>
  </si>
  <si>
    <t xml:space="preserve">VILLA FIORI </t>
  </si>
  <si>
    <t>34.699.616/0001-14</t>
  </si>
  <si>
    <t>Praça Dom Pedro II, 184</t>
  </si>
  <si>
    <t>37701-035</t>
  </si>
  <si>
    <t>Elaine</t>
  </si>
  <si>
    <t>(35) 31149090</t>
  </si>
  <si>
    <t>Carol &lt;reservas@hotelvillafiori.com.br&gt;</t>
  </si>
  <si>
    <t>LARICYS ACESSORIOS</t>
  </si>
  <si>
    <t>55.688.995/0001-17</t>
  </si>
  <si>
    <t>Avenida Rui Barbosa, 26-03, Centro</t>
  </si>
  <si>
    <t xml:space="preserve">QUATA </t>
  </si>
  <si>
    <t>(18) 3569-8521</t>
  </si>
  <si>
    <t>AGIS EQUIP. E SERV INFORMATICA LTDA</t>
  </si>
  <si>
    <t>68.993.641/0008-02</t>
  </si>
  <si>
    <t>Av. setecentos S/N Qd 17 sala 09</t>
  </si>
  <si>
    <t>SERRA</t>
  </si>
  <si>
    <t>ES</t>
  </si>
  <si>
    <t>(19) 3756-4606</t>
  </si>
  <si>
    <t>SISTEMA INFORMATICA COM IMP EXP LTDS</t>
  </si>
  <si>
    <t>22.204.648/0001-12</t>
  </si>
  <si>
    <t>Rua Rio de Janeiro, 514 Centro</t>
  </si>
  <si>
    <t>37701-011</t>
  </si>
  <si>
    <t>Felipe</t>
  </si>
  <si>
    <t>(35) 3722-4441</t>
  </si>
  <si>
    <t>felipe@sistemainformatica.com.br</t>
  </si>
  <si>
    <t>Refrigeração e Ar Condicionado</t>
  </si>
  <si>
    <t>RJ AR CONDICIONADO E ENGENHARIA LTDA</t>
  </si>
  <si>
    <t>37.963.215/0001-18</t>
  </si>
  <si>
    <t>Rua Piaui, 655 Centro</t>
  </si>
  <si>
    <t>Cristiane</t>
  </si>
  <si>
    <t>(35) 99243-7789</t>
  </si>
  <si>
    <t>administracao@rjarcondicionado.com</t>
  </si>
  <si>
    <t>FUNDAÇAO CENTROS DE REFERENCIA EM TECNOLOGIAS INOVADORAS</t>
  </si>
  <si>
    <t>78.626.363/0001-24</t>
  </si>
  <si>
    <t>Campus Universitário, s/n Setor C Bairro Trindade</t>
  </si>
  <si>
    <t>FLORIANOPOLIS</t>
  </si>
  <si>
    <t>SC</t>
  </si>
  <si>
    <t>88040-900</t>
  </si>
  <si>
    <t>A. ALMEIDA ANTONIO PUBLICIDADE</t>
  </si>
  <si>
    <t>53.126.388/0001-38</t>
  </si>
  <si>
    <t>R Agrim Sugaya, 391 apto 107 Colonia</t>
  </si>
  <si>
    <t>08260-030</t>
  </si>
  <si>
    <t>Anderson</t>
  </si>
  <si>
    <t>(11) 98853-8779</t>
  </si>
  <si>
    <t xml:space="preserve">PIXEL TOPOGRAFIA </t>
  </si>
  <si>
    <t>Rua Capitão Afonso Junqueira, 578</t>
  </si>
  <si>
    <t>Marcos Resende</t>
  </si>
  <si>
    <t>(35) 9946-6253</t>
  </si>
  <si>
    <t>TRUE MINE LTDA</t>
  </si>
  <si>
    <t>57.534.336/0001-51</t>
  </si>
  <si>
    <t>Al Leopoçdo de Bulhoes, 576 quadra 52</t>
  </si>
  <si>
    <t>GOIANIA</t>
  </si>
  <si>
    <t>GO</t>
  </si>
  <si>
    <t>LUIS FERNANDO PATREZI</t>
  </si>
  <si>
    <t>SUL MINAS TV</t>
  </si>
  <si>
    <t>51.021.184/0001-07</t>
  </si>
  <si>
    <t>Rua São Paulo, 545 Centro</t>
  </si>
  <si>
    <t xml:space="preserve">Silas </t>
  </si>
  <si>
    <t>(35) 9129-2922</t>
  </si>
  <si>
    <t>COMERCIAL ART PEL LTDA</t>
  </si>
  <si>
    <t>46.292.993/0001-13</t>
  </si>
  <si>
    <t>Rua Assis Figueiredo, 674, 2 Centro</t>
  </si>
  <si>
    <t>(35) 3722-1334</t>
  </si>
  <si>
    <t>SILAS FERREIRA DE BARROS BARBOSA</t>
  </si>
  <si>
    <t>36.420.010/0001-23</t>
  </si>
  <si>
    <t>Da Consolaçao, 256 Santo Andre</t>
  </si>
  <si>
    <t>37704-041</t>
  </si>
  <si>
    <t>(35) 98439-7358</t>
  </si>
  <si>
    <t>LUITEX MAQUINAS E FERRAMENTAS LTDA</t>
  </si>
  <si>
    <t>51.051.811/0004-03</t>
  </si>
  <si>
    <t xml:space="preserve">Rua Ulisses Leme, 1850 Parque Guainco </t>
  </si>
  <si>
    <t>MOGI GUAÇU</t>
  </si>
  <si>
    <t>13844-282</t>
  </si>
  <si>
    <t>Matheus</t>
  </si>
  <si>
    <t>(11) 95993-6026</t>
  </si>
  <si>
    <t>vendas4.mogi@luitex.com.br</t>
  </si>
  <si>
    <t>WILLIAM EDUARDO FREIRE ADVOGADOS ASSOCIADOS</t>
  </si>
  <si>
    <t>01.413.102/0001-00</t>
  </si>
  <si>
    <t xml:space="preserve">Ave Afonso Pena, 4100 Andar 12 </t>
  </si>
  <si>
    <t>CRUZEIRO</t>
  </si>
  <si>
    <t>30130-009</t>
  </si>
  <si>
    <t>(31) 3261-7747</t>
  </si>
  <si>
    <t>CLARA ACESSORIOS</t>
  </si>
  <si>
    <t>57.581.975/0001-78</t>
  </si>
  <si>
    <t xml:space="preserve">Avenida Doutor Cerávolo, 6-951 </t>
  </si>
  <si>
    <t>PRESIDENTE PRUDENTE</t>
  </si>
  <si>
    <t>19130-020</t>
  </si>
  <si>
    <t>(18) 3225-9852</t>
  </si>
  <si>
    <t>THAMIRES YASMIN SILVA NASCIMENTO</t>
  </si>
  <si>
    <t>51.548.871/0001-85</t>
  </si>
  <si>
    <t>Avenida Gabriela Ferreira do Bem, 285 Casa</t>
  </si>
  <si>
    <t>37714-669</t>
  </si>
  <si>
    <t xml:space="preserve">Thamires </t>
  </si>
  <si>
    <t>(35)  99152-9099</t>
  </si>
  <si>
    <t>MTAG ETIQUETAS ACESSORIOS EM GERAL LTDA</t>
  </si>
  <si>
    <t>51.075.131/0001-56</t>
  </si>
  <si>
    <t>Rua Antonio Luis Fornazin, 308 Jd Dona Regina</t>
  </si>
  <si>
    <t>SANTA BARBARA D OESTE</t>
  </si>
  <si>
    <t>(19) 99451-4845</t>
  </si>
  <si>
    <t>ASAPH TEIXEIRA DE ARAUJO FILMS</t>
  </si>
  <si>
    <t>29.874.854/0001-89</t>
  </si>
  <si>
    <t>Rua Paraiba, 49 Sala 201 Centro</t>
  </si>
  <si>
    <t>37701-726</t>
  </si>
  <si>
    <t>Adriany</t>
  </si>
  <si>
    <t>(35) 99997-8505</t>
  </si>
  <si>
    <t>KATO &amp; CIA LTDA</t>
  </si>
  <si>
    <t>10.493.825/0001-49</t>
  </si>
  <si>
    <t>Rua São Paulo, 635 Lj 1</t>
  </si>
  <si>
    <t>37701-012</t>
  </si>
  <si>
    <t>(35) 3712-6436</t>
  </si>
  <si>
    <t>WILLIAN DAVID DE LIMA MARTINS</t>
  </si>
  <si>
    <t>29.671.822/0001-86</t>
  </si>
  <si>
    <t>Rua Doutor Wilson Rafael Danza, 550 Portao 05</t>
  </si>
  <si>
    <t>37701-336</t>
  </si>
  <si>
    <t>(35) 99734-7068</t>
  </si>
  <si>
    <t>EBAZAR.COM.BR LTDA</t>
  </si>
  <si>
    <t>03.007.331/0001-56</t>
  </si>
  <si>
    <t xml:space="preserve">Av Doutor Antonio Joao Abdalla, 3333 Setor parte a 0001 </t>
  </si>
  <si>
    <t>CAJAMAR</t>
  </si>
  <si>
    <t>0750-020</t>
  </si>
  <si>
    <t>TG COMERCIO E IMPORTACAO LTDA</t>
  </si>
  <si>
    <t>44.600.367/0001-11</t>
  </si>
  <si>
    <t xml:space="preserve">Rua Maria da Gloria Vilela, 179 </t>
  </si>
  <si>
    <t>CAMPINAS</t>
  </si>
  <si>
    <t>13030-625</t>
  </si>
  <si>
    <t>(11) 91573-9223</t>
  </si>
  <si>
    <t xml:space="preserve">FM IMPRESSOS PERSONALIZADOS LTDA </t>
  </si>
  <si>
    <t>13.555.994/0001-54</t>
  </si>
  <si>
    <t>Rua Joao Ferreira Camargo, 714 Conjunto 1 Sitio Mutinga</t>
  </si>
  <si>
    <t>BARUERI</t>
  </si>
  <si>
    <t>06460-060</t>
  </si>
  <si>
    <t>Rosana</t>
  </si>
  <si>
    <t xml:space="preserve">DINMAP DISTRIBUIDORA DE EQUIPAMENTO DE </t>
  </si>
  <si>
    <t>04.004.878/ 0001-56</t>
  </si>
  <si>
    <t>Rua Doutor Adolfo Lutz, 610 Jd Nossa Senhora Aparecida</t>
  </si>
  <si>
    <t>MOGI MIRIM</t>
  </si>
  <si>
    <t>13800-650</t>
  </si>
  <si>
    <t>(19) 3806-6289</t>
  </si>
  <si>
    <t>ROSA SANTIAGO LTDA</t>
  </si>
  <si>
    <t>39.442.191/0001-87</t>
  </si>
  <si>
    <t>Rua Manoel Caires de Souza, 25 Galpao 2</t>
  </si>
  <si>
    <t>CARAGUATATUBA</t>
  </si>
  <si>
    <t>11668-342</t>
  </si>
  <si>
    <t>(12) 99043-8546</t>
  </si>
  <si>
    <t xml:space="preserve">NAPOLI COMERCIO VAREJISTA DE PRODUTOS DE </t>
  </si>
  <si>
    <t>32.610.096/0001-04</t>
  </si>
  <si>
    <t>Est Jayme Alberto Bergstron, 108 Distrito Industrial Alcides Fantussi</t>
  </si>
  <si>
    <t>CORDEIROPOLIS</t>
  </si>
  <si>
    <t>13492-602</t>
  </si>
  <si>
    <t>(19) 3546-4049</t>
  </si>
  <si>
    <t>LENIMAR RODRIGUES FELIPE</t>
  </si>
  <si>
    <t>30.188.661/0001-53</t>
  </si>
  <si>
    <t>Dr Mario de Paiva, 445 Vila Nova</t>
  </si>
  <si>
    <t>37701-104</t>
  </si>
  <si>
    <t>Leni</t>
  </si>
  <si>
    <t>(35) 3721-3490</t>
  </si>
  <si>
    <t xml:space="preserve">HEILTON ALVES GOUVEIA </t>
  </si>
  <si>
    <t>47.682.086/0001-43</t>
  </si>
  <si>
    <t>Rua Nelson Sarti, 210 Jd Paraiso</t>
  </si>
  <si>
    <t>37704-276</t>
  </si>
  <si>
    <t>(35) 98868-4252</t>
  </si>
  <si>
    <t>RADIO ONDA SUL FM STEREO LTDA</t>
  </si>
  <si>
    <t>23.931.736/0002-60</t>
  </si>
  <si>
    <t>Rua Junqueira, 613 2° Andar Centro</t>
  </si>
  <si>
    <t>37701-033</t>
  </si>
  <si>
    <t>Vivian</t>
  </si>
  <si>
    <t>VIVIAN DE OLIVEIRA</t>
  </si>
  <si>
    <t>22.082.289/0001-78</t>
  </si>
  <si>
    <t>Av Champagnat, 859 São Domingos</t>
  </si>
  <si>
    <t>37701-391</t>
  </si>
  <si>
    <t>OTAVIO DOS SANTOS PELOZZI</t>
  </si>
  <si>
    <t>45.876.775/0001-63</t>
  </si>
  <si>
    <t>Rua Pedro Valerio de Lima, 255 Residencial São Bernardo</t>
  </si>
  <si>
    <t>337716-204</t>
  </si>
  <si>
    <t>Otavio</t>
  </si>
  <si>
    <t>(35) 99810-2628</t>
  </si>
  <si>
    <t>QUINTO IMPERIO COMERCIO DE PAPEIS LTDA</t>
  </si>
  <si>
    <t>34.888.367/0001-05</t>
  </si>
  <si>
    <t>Rua Lua Crescente, 616 Jd do Luar</t>
  </si>
  <si>
    <t>06529-017</t>
  </si>
  <si>
    <t>(11) 99224-4022</t>
  </si>
  <si>
    <t>EVANDRO GOMES LIMAO</t>
  </si>
  <si>
    <t>42.986.923/0001-04</t>
  </si>
  <si>
    <t>Dr David Benedito Ottoni, 450 Jd dos Estados</t>
  </si>
  <si>
    <t>37701-069</t>
  </si>
  <si>
    <t>Evandro</t>
  </si>
  <si>
    <t>(35) 99969-8961</t>
  </si>
  <si>
    <t>HOTEL LIETO POÇOS LTDA</t>
  </si>
  <si>
    <t>56.257.948/0001-56</t>
  </si>
  <si>
    <t>Rua Junqueira, 520 Centro</t>
  </si>
  <si>
    <t xml:space="preserve">MG </t>
  </si>
  <si>
    <t xml:space="preserve">Elaine </t>
  </si>
  <si>
    <t>(35) 3697-3300</t>
  </si>
  <si>
    <t xml:space="preserve">JULIANO DA SILVA </t>
  </si>
  <si>
    <t>17.029.997/0001-05</t>
  </si>
  <si>
    <t>Rua Vinte de Janeiro, 18 Jardim America</t>
  </si>
  <si>
    <t>37704-365</t>
  </si>
  <si>
    <t>Juliano</t>
  </si>
  <si>
    <t>(35) 99821-3412</t>
  </si>
  <si>
    <t>S.I.H. POCOS DE CALDAS LTDA</t>
  </si>
  <si>
    <t xml:space="preserve">CENACON </t>
  </si>
  <si>
    <t>10.757.501/0001-70</t>
  </si>
  <si>
    <t>Ave Vereador Edmundo Cardillo, 3608</t>
  </si>
  <si>
    <t>37710-005</t>
  </si>
  <si>
    <t>Estela</t>
  </si>
  <si>
    <t>(35) 3722-2123</t>
  </si>
  <si>
    <t>Serviços de Eventos</t>
  </si>
  <si>
    <t>V. VERSATIL LTDA</t>
  </si>
  <si>
    <t>11.182.023/0001-80</t>
  </si>
  <si>
    <t>Rua Antonio de Almeida Marques, 203 Conj B Jd Elvira Dias</t>
  </si>
  <si>
    <t>337718-102</t>
  </si>
  <si>
    <t>Siomara</t>
  </si>
  <si>
    <t>37718-102</t>
  </si>
  <si>
    <t>(35) 3721-3851</t>
  </si>
  <si>
    <t>STAR EVENTOS SOCIAIS LTDA - ME</t>
  </si>
  <si>
    <t>10.979.801/0001-02</t>
  </si>
  <si>
    <t>Rua Antonio Almeida Marques, 203 Conj A Jd Elvira Dias</t>
  </si>
  <si>
    <t>IGOR WEBSTER TELES ARAUJO</t>
  </si>
  <si>
    <t>54.830.581/0001-18</t>
  </si>
  <si>
    <t>Rua Capitao Paulino Cobra, 144 Jd. Gama Cruz</t>
  </si>
  <si>
    <t>37701-433</t>
  </si>
  <si>
    <t>(35) 99893-4564</t>
  </si>
  <si>
    <t>GILMAR TAVARES</t>
  </si>
  <si>
    <t>23.799.083/0001-26</t>
  </si>
  <si>
    <t>Rua Adoniran Barbosa, 127 Estancia São Jose</t>
  </si>
  <si>
    <t>37706-024</t>
  </si>
  <si>
    <t>(35) 3713-4526</t>
  </si>
  <si>
    <t>AUTO VIACAO CIRCULARE POCOS DE CALDAS LTDA</t>
  </si>
  <si>
    <t>07.190.108/0001-33</t>
  </si>
  <si>
    <t>Rua Senador Salgado Filho, 690 Jd Country Club</t>
  </si>
  <si>
    <t>37701-532</t>
  </si>
  <si>
    <t>Serviços de Reparo e Manutenção de Máquinas</t>
  </si>
  <si>
    <t>COOP. REGIONAL DOS CAFEICULTORES DE P DE CALDAS</t>
  </si>
  <si>
    <t>23.641.822/0004-08</t>
  </si>
  <si>
    <t>Avenida João Pinheiro, 757 Centro</t>
  </si>
  <si>
    <t>37701-387</t>
  </si>
  <si>
    <t>Fornecimento de Uniformes</t>
  </si>
  <si>
    <t>ILANE DO PRADO CHIMENTAO</t>
  </si>
  <si>
    <t>DR BORDADOS</t>
  </si>
  <si>
    <t>54.047.697/0001-85</t>
  </si>
  <si>
    <t>Rua Major Joaquim Bernardes, 147 apto 05</t>
  </si>
  <si>
    <t>37701-454</t>
  </si>
  <si>
    <t>Fabiano</t>
  </si>
  <si>
    <t>(35) 99259-9393</t>
  </si>
  <si>
    <t>Serviços de Treinamento e Capacitação</t>
  </si>
  <si>
    <t xml:space="preserve">IBRAM </t>
  </si>
  <si>
    <t>19.759.554/0001-03</t>
  </si>
  <si>
    <t>Agências de Viagens</t>
  </si>
  <si>
    <t>AMANDA ALVISI COSTA</t>
  </si>
  <si>
    <t>CRUZEIRO VIAGENS</t>
  </si>
  <si>
    <t>52.097.253/0001-29</t>
  </si>
  <si>
    <t>Rua Tomazo Venafro, 42 Jd. Vitoria</t>
  </si>
  <si>
    <t>37701-285</t>
  </si>
  <si>
    <t>Amanda</t>
  </si>
  <si>
    <t xml:space="preserve">UNIDAS LOCADORA S.A </t>
  </si>
  <si>
    <t xml:space="preserve">UNIDADES LOCADORA S.A </t>
  </si>
  <si>
    <t>45.736.131/0001-70</t>
  </si>
  <si>
    <t>Avenida dos Andradas, 3000 Sala E 33 Santa Efigencia</t>
  </si>
  <si>
    <t>30660-070</t>
  </si>
  <si>
    <t>(32) 9979-7029</t>
  </si>
  <si>
    <t>TEMPLE COMUNICAÇAO EMPRESARIAL LTDA</t>
  </si>
  <si>
    <t>02.460.318/0001-80</t>
  </si>
  <si>
    <t>Travessa Benjamin Constant 1416 Bairro Nazare</t>
  </si>
  <si>
    <t>BELEM</t>
  </si>
  <si>
    <t>PA</t>
  </si>
  <si>
    <t>66035-060</t>
  </si>
  <si>
    <t xml:space="preserve">Ricardo  </t>
  </si>
  <si>
    <t>(91) 3205-6508</t>
  </si>
  <si>
    <t>GABRIEL ANTONIO DA SILVA</t>
  </si>
  <si>
    <t>LIDER SOLUÇOES EM TRANSPORTE</t>
  </si>
  <si>
    <t>41.084.664/0001-63</t>
  </si>
  <si>
    <t>Rua Ozualdo Berno. 26 Jardim Itamaraty</t>
  </si>
  <si>
    <t>BH</t>
  </si>
  <si>
    <t>37710-060</t>
  </si>
  <si>
    <t>(35) 99879-8072</t>
  </si>
  <si>
    <t>LUAN DAVI ESTEVAO DOS SANTOS</t>
  </si>
  <si>
    <t>52.826.234/0001-96</t>
  </si>
  <si>
    <t>Rua São Francisco, 98 Se São paulo</t>
  </si>
  <si>
    <t>01005-020</t>
  </si>
  <si>
    <t>(11) 99356-1375</t>
  </si>
  <si>
    <t>CENTER MOLDURAS LTDA</t>
  </si>
  <si>
    <t>05.231.506/0001-25</t>
  </si>
  <si>
    <t>Rua Rio Grande do Sul, 791 Centro</t>
  </si>
  <si>
    <t>37701-001</t>
  </si>
  <si>
    <t>Cristiano</t>
  </si>
  <si>
    <t>(35) 3721-1026</t>
  </si>
  <si>
    <t xml:space="preserve">WORLD SEG PRODUTOS PARA SEGURANCA </t>
  </si>
  <si>
    <t>02.311.428/0001-80</t>
  </si>
  <si>
    <t>Av Antonio Thomaz Ferreira de Rezende 1221 Marta Helena</t>
  </si>
  <si>
    <t>38402-005</t>
  </si>
  <si>
    <t>Thayne</t>
  </si>
  <si>
    <t>(34) 3212-6160</t>
  </si>
  <si>
    <t>Serviços de Limpeza e Conservação</t>
  </si>
  <si>
    <t xml:space="preserve">D D MINAS IMUNIZACAO E CONTROLE DE PRAGAS LTDA - ME </t>
  </si>
  <si>
    <t>15.798.115/0001-40</t>
  </si>
  <si>
    <t>Rua Coronel Virgilio Silva, 805 Vila Jose Carlos</t>
  </si>
  <si>
    <t>37701-642</t>
  </si>
  <si>
    <t>Alandra</t>
  </si>
  <si>
    <t>(35) 3714-0287</t>
  </si>
  <si>
    <t>01MARTEC FERRAMENTAS E EQUIPAMENTOS LTDA</t>
  </si>
  <si>
    <t>MARTEC FERRAMENTAS</t>
  </si>
  <si>
    <t>59.867.829/0001-39</t>
  </si>
  <si>
    <t>Rua Dr. Gilardi Monteiro, 211 Vila Cruz</t>
  </si>
  <si>
    <t>37701-413</t>
  </si>
  <si>
    <t xml:space="preserve">Marlon </t>
  </si>
  <si>
    <t>(35) 98871-5747</t>
  </si>
  <si>
    <t>POCOS PRINT LTDA</t>
  </si>
  <si>
    <t>18.603.583/0001-00</t>
  </si>
  <si>
    <t>Rua Pernambuco, 979 Centro</t>
  </si>
  <si>
    <t>37701-728</t>
  </si>
  <si>
    <t xml:space="preserve">Luan </t>
  </si>
  <si>
    <t>(35) 3713-6551</t>
  </si>
  <si>
    <t xml:space="preserve">KETHIINA FERNANDA DE MELO </t>
  </si>
  <si>
    <t>FABIANA E MAURICIO ALUGUEL DE BRINQUEDOS</t>
  </si>
  <si>
    <t>35.360.414/0001-06</t>
  </si>
  <si>
    <t>Rua Aristides Thomaz Ballerini, 310 Jd Ype</t>
  </si>
  <si>
    <t>37704-206</t>
  </si>
  <si>
    <t>Fabiana</t>
  </si>
  <si>
    <t>(35) 98451-1180</t>
  </si>
  <si>
    <t>LAGO CARAVALHO LTDA</t>
  </si>
  <si>
    <t>11.163.322/0001-79</t>
  </si>
  <si>
    <t>Av. Mansur Frayha, 3680 Centro</t>
  </si>
  <si>
    <t>37701-386</t>
  </si>
  <si>
    <t>Carol</t>
  </si>
  <si>
    <t>(35) 3721-6144</t>
  </si>
  <si>
    <t>A C F MAGAZINE LTDA</t>
  </si>
  <si>
    <t>45.616.563/0001-56</t>
  </si>
  <si>
    <t>Rua 1 JN, 459 Jardim Novo 2</t>
  </si>
  <si>
    <t>RIO CLARO</t>
  </si>
  <si>
    <t>13502-550</t>
  </si>
  <si>
    <t>(19) 99615-1819</t>
  </si>
  <si>
    <t>Equipamentos industriais / Sistemas de processo</t>
  </si>
  <si>
    <t>ANDRITZ BRASIL LTDA.</t>
  </si>
  <si>
    <t>Fabio Rita</t>
  </si>
  <si>
    <t>Construção Civil e Obras</t>
  </si>
  <si>
    <t>ARKA ENGENHARIA E CONSTRUÇÃO LTDA.</t>
  </si>
  <si>
    <t>Rodrigo</t>
  </si>
  <si>
    <t>Equipamentos industriais (compressão, ar comprimido, bombas, energia)</t>
  </si>
  <si>
    <t>ATLAS COPCO BRASIL LTDA.</t>
  </si>
  <si>
    <t>Custodio / José Balbino</t>
  </si>
  <si>
    <t>Equipamentos de laboratório mineral / Britagem / Moagem / Processamento mineral</t>
  </si>
  <si>
    <t>BRASTORNO INDÚSTRIA E EQUIPAMENTOS LTDA.</t>
  </si>
  <si>
    <t xml:space="preserve">Lucas </t>
  </si>
  <si>
    <t>Locação de máquinas pesadas / Operação de equipamentos</t>
  </si>
  <si>
    <t>D7 BRASIL SERVIÇOS DE LOCAÇÃO E OPERAÇÃO LTDA.</t>
  </si>
  <si>
    <t>Perfuração / Sondagem</t>
  </si>
  <si>
    <t>ENERGOLD PERFURAÇÕES S.A.</t>
  </si>
  <si>
    <t>Domingos / Gustavo</t>
  </si>
  <si>
    <t>GEOSEDNA – GEOLOGIA E SONDAGENS LTDA.</t>
  </si>
  <si>
    <t>Julio / Marsol</t>
  </si>
  <si>
    <t>NEOGEO GEOLOGIA E MEIO AMBIENTE LTDA.</t>
  </si>
  <si>
    <t>Hugo / Maria</t>
  </si>
  <si>
    <t>Planejamento / Engenharia / Qualidade / Fiscalização</t>
  </si>
  <si>
    <t xml:space="preserve">PAREX ENGENHARIA S.A. </t>
  </si>
  <si>
    <t>Lucas / Leonardo</t>
  </si>
  <si>
    <t>SEMCO MANUTENÇÃO E COMÉRCIO LTDA.</t>
  </si>
  <si>
    <t>Artur</t>
  </si>
  <si>
    <t>SGS DO BRASIL LTDA.</t>
  </si>
  <si>
    <t>Patrícia</t>
  </si>
  <si>
    <t>Bombas peristálticas / Sistemas de movimentação de fluidos</t>
  </si>
  <si>
    <t>WATSON-MARLOW FLUID TECHNOLOGY GROUP</t>
  </si>
  <si>
    <t>Fabiano / Sergio</t>
  </si>
  <si>
    <t>ARTEMIX</t>
  </si>
  <si>
    <t>21.075.225/0001-87</t>
  </si>
  <si>
    <t>Rua Antônio Bortolan, 10 - Bortolan</t>
  </si>
  <si>
    <t>Jocelaine</t>
  </si>
  <si>
    <t>CLEITON APARECIDA BASSO ME</t>
  </si>
  <si>
    <t>MUDANÇAS NOVO LAR</t>
  </si>
  <si>
    <t>46.134.966/0001-12</t>
  </si>
  <si>
    <t>Av Monsenhor Alderige, 500</t>
  </si>
  <si>
    <t>Vanessa</t>
  </si>
  <si>
    <t>TIAGO ALESSANDRO FERREIRA</t>
  </si>
  <si>
    <t>64.421.719/0001-89</t>
  </si>
  <si>
    <t>Stephani</t>
  </si>
  <si>
    <t>Hidráulica e Elétrica</t>
  </si>
  <si>
    <t>CASA DAS TORNEIRAS SOC. EMP. LTDA</t>
  </si>
  <si>
    <t>65.242.364/0001-23</t>
  </si>
  <si>
    <t>Rua São Paulo, 477 Loja 02</t>
  </si>
  <si>
    <t>Gladson</t>
  </si>
  <si>
    <t>AM FIOS E CABOS EIRELI ME</t>
  </si>
  <si>
    <t>09.459.440/0001-86</t>
  </si>
  <si>
    <t>Rua Pedro Bertozzi, 08 Vila Olimpica</t>
  </si>
  <si>
    <t>Jonas</t>
  </si>
  <si>
    <t>G2 COMERCIO DE AREIAS E BRITAS LTDA</t>
  </si>
  <si>
    <t>50.798.460/00001-85</t>
  </si>
  <si>
    <t xml:space="preserve">Rod BR459 - KM28 Zona Rural </t>
  </si>
  <si>
    <t>Kiko</t>
  </si>
  <si>
    <t>(35) 3697-0550</t>
  </si>
  <si>
    <t>comercialflorence@hotmail.com</t>
  </si>
  <si>
    <t xml:space="preserve">SETEC MATERIAIS ELETRICOS </t>
  </si>
  <si>
    <t>22.044.109/0001-63</t>
  </si>
  <si>
    <t xml:space="preserve">Rua Vereador Joao Siqueira Loiola, 65/13 </t>
  </si>
  <si>
    <t>Ana Laura</t>
  </si>
  <si>
    <t>(35) 3301-3888</t>
  </si>
  <si>
    <t>setecmateriaiseletricos2021@gmail.com</t>
  </si>
  <si>
    <t>ZT P DE CALDAS ALUGUEL DE EQUIP. LTDA</t>
  </si>
  <si>
    <t>CASA DO CONSTRUTOR</t>
  </si>
  <si>
    <t>11.621.384/0001-86</t>
  </si>
  <si>
    <t>Av João Pinheiro, 1081 Campo da Mogiana</t>
  </si>
  <si>
    <t>Edwaldo</t>
  </si>
  <si>
    <t>(35) 99194-2524</t>
  </si>
  <si>
    <t>pc.faturamento@casadoconstrutor.com.br</t>
  </si>
  <si>
    <t>TOQUE DE COR TINTAS &amp; IMPERMEABILIZANTES LTDA</t>
  </si>
  <si>
    <t>55.526.767/0001-40</t>
  </si>
  <si>
    <t>Avenida Melvin Jones 969</t>
  </si>
  <si>
    <t>(35) 3713-3981</t>
  </si>
  <si>
    <t>toquedecorpc@gmail.com</t>
  </si>
  <si>
    <t>COMERCIAL PROTEX LTDA</t>
  </si>
  <si>
    <t>18.176.057/0001-01</t>
  </si>
  <si>
    <t>Rua Jose Ramos, 105 Vila Togni</t>
  </si>
  <si>
    <t>Rafael</t>
  </si>
  <si>
    <t>(35) 37222796</t>
  </si>
  <si>
    <t>faturamento@protexextintores.com.br</t>
  </si>
  <si>
    <t>MASTERS COMUNICAÇAO</t>
  </si>
  <si>
    <t>(35 )99106-5670</t>
  </si>
  <si>
    <t>masterscomunicacaovisual@gmail.com</t>
  </si>
  <si>
    <t>FLORATTA PAISAGISMO E JARDINAGEM</t>
  </si>
  <si>
    <t>11.163.322/0001-78</t>
  </si>
  <si>
    <t>Av. Mansur Frayha, 3680</t>
  </si>
  <si>
    <t>Carolie</t>
  </si>
  <si>
    <t>(35) 3714-8445</t>
  </si>
  <si>
    <t>floratta.paisagismo@hotmail.com</t>
  </si>
  <si>
    <t>COMERCIAL FRIGEL LTDA</t>
  </si>
  <si>
    <t>26.004.218/0001-08</t>
  </si>
  <si>
    <t>Avenida José Remígio Prezia, 1417,</t>
  </si>
  <si>
    <t xml:space="preserve">Thiago </t>
  </si>
  <si>
    <t xml:space="preserve"> (35) 3729-1666</t>
  </si>
  <si>
    <t>frigel@comercialfrigel.com.br</t>
  </si>
  <si>
    <t>GUIMARAES E GUIMARAES VIDROS LTDA. - ME</t>
  </si>
  <si>
    <t>VIDRACARIA ARCO IRIS</t>
  </si>
  <si>
    <t>22.446.219/0001-51</t>
  </si>
  <si>
    <t>Avenida Presidente Wenceslau Braz</t>
  </si>
  <si>
    <t>Marcia</t>
  </si>
  <si>
    <t>(35)3713-1631</t>
  </si>
  <si>
    <t>vidracaria.arco.iris@gmail.com</t>
  </si>
  <si>
    <t>A2 MOVEIS LTDA</t>
  </si>
  <si>
    <t>SANVEL MOVEIS</t>
  </si>
  <si>
    <t>20.684.528/0001-34</t>
  </si>
  <si>
    <t>Rua Sebastiao do Prado Luz, 76</t>
  </si>
  <si>
    <t>Cesar</t>
  </si>
  <si>
    <r>
      <t>cesar@sanvelmoveis.com.br</t>
    </r>
    <r>
      <rPr>
        <sz val="8"/>
        <color rgb="FF333333"/>
        <rFont val="Trebuchet MS"/>
        <family val="2"/>
      </rPr>
      <t> </t>
    </r>
  </si>
  <si>
    <t xml:space="preserve">MOUNA SALAH </t>
  </si>
  <si>
    <t>REPREMAQ</t>
  </si>
  <si>
    <t>34.207.166/0001-03</t>
  </si>
  <si>
    <t>Rua Santa Catarina, 193</t>
  </si>
  <si>
    <t>Mouna</t>
  </si>
  <si>
    <t>(35) 98852-0698</t>
  </si>
  <si>
    <t>MOVEIS TREVISAN LTDA MATRIZ</t>
  </si>
  <si>
    <t>TREVISAN MOVEIS</t>
  </si>
  <si>
    <t>16.733.529/0001-54</t>
  </si>
  <si>
    <t>Av Joao Domiciano da Costa, 484</t>
  </si>
  <si>
    <t>ANDRADAS</t>
  </si>
  <si>
    <t>Aldo</t>
  </si>
  <si>
    <t>(35) 3731-2000</t>
  </si>
  <si>
    <t>PEDRO PAULO CAPONI</t>
  </si>
  <si>
    <t>00.869.672/0001-38</t>
  </si>
  <si>
    <t>Av Joao Pinheiro, 602</t>
  </si>
  <si>
    <t>Henrique</t>
  </si>
  <si>
    <t>(35) 3714-3800</t>
  </si>
  <si>
    <t>MARCELO CANDIDO EDUARDO &amp; CIA</t>
  </si>
  <si>
    <t>TRANSLOC</t>
  </si>
  <si>
    <t>11.848.949/0001-62</t>
  </si>
  <si>
    <t>Rua Antonio Matavelli sobrinho, 227</t>
  </si>
  <si>
    <t>Marcelo</t>
  </si>
  <si>
    <t>(35) 3721-3633</t>
  </si>
  <si>
    <t>Mês</t>
  </si>
  <si>
    <t>Nº Mês</t>
  </si>
  <si>
    <t>Indicador</t>
  </si>
  <si>
    <t>Categoria</t>
  </si>
  <si>
    <t>Quantidade</t>
  </si>
  <si>
    <t>RC Recebidas</t>
  </si>
  <si>
    <t>RC Urgentes</t>
  </si>
  <si>
    <t>RC's Recebidas OPEX</t>
  </si>
  <si>
    <t>RC's Recebidas CAPEX</t>
  </si>
  <si>
    <t>Leandro Abreu</t>
  </si>
  <si>
    <t>COMMUNICATION</t>
  </si>
  <si>
    <t>EXECUTIVE MANAGEMENT</t>
  </si>
  <si>
    <t>Contrato Contínuo Complexo</t>
  </si>
  <si>
    <t>Importação</t>
  </si>
  <si>
    <t>LEGAL</t>
  </si>
  <si>
    <t>REGULATORY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</si>
</sst>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_ ;[Red]\-0\ "/>
    <numFmt numFmtId="165" formatCode="0.00_ ;[Red]\-0.00\ 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242424"/>
      <name val="Aptos Narrow"/>
      <family val="2"/>
    </font>
    <font>
      <b/>
      <sz val="11"/>
      <color rgb="FF000000"/>
      <name val="Aptos Narrow"/>
      <family val="2"/>
    </font>
    <font>
      <b/>
      <sz val="11"/>
      <color rgb="FFFFFFFF"/>
      <name val="Aptos Narrow"/>
      <family val="2"/>
    </font>
    <font>
      <b/>
      <sz val="11"/>
      <name val="Aptos Narrow"/>
      <family val="2"/>
    </font>
    <font>
      <sz val="11"/>
      <color rgb="FF000000"/>
      <name val="Aptos Narrow"/>
      <family val="2"/>
    </font>
    <font>
      <u/>
      <sz val="11"/>
      <color theme="10"/>
      <name val="Calibri"/>
      <family val="2"/>
      <scheme val="minor"/>
    </font>
    <font>
      <b/>
      <sz val="10"/>
      <color rgb="FFFFFFFF"/>
      <name val="Aptos Narrow"/>
      <family val="2"/>
    </font>
    <font>
      <sz val="10"/>
      <color rgb="FF000000"/>
      <name val="Aptos Narrow"/>
      <family val="2"/>
    </font>
    <font>
      <b/>
      <sz val="10"/>
      <color rgb="FF000000"/>
      <name val="Aptos Narrow"/>
      <family val="2"/>
    </font>
    <font>
      <sz val="8"/>
      <color rgb="FF1F1F1F"/>
      <name val="Arial"/>
      <family val="2"/>
    </font>
    <font>
      <sz val="8"/>
      <color rgb="FF333333"/>
      <name val="Trebuchet MS"/>
      <family val="2"/>
    </font>
    <font>
      <b/>
      <sz val="11"/>
      <color theme="0"/>
      <name val="Calibri"/>
      <family val="2"/>
    </font>
    <font>
      <b/>
      <sz val="1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6" tint="-0.499984740745262"/>
        <bgColor indexed="64"/>
      </patternFill>
    </fill>
    <fill>
      <patternFill patternType="solid">
        <fgColor rgb="FF393939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C1F0C8"/>
        <bgColor rgb="FF000000"/>
      </patternFill>
    </fill>
    <fill>
      <patternFill patternType="solid">
        <fgColor rgb="FF1B5633"/>
        <bgColor rgb="FF000000"/>
      </patternFill>
    </fill>
    <fill>
      <patternFill patternType="solid">
        <fgColor rgb="FF0F9ED5"/>
        <bgColor rgb="FF000000"/>
      </patternFill>
    </fill>
    <fill>
      <patternFill patternType="solid">
        <fgColor rgb="FFCAEDFB"/>
        <bgColor rgb="FF000000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dotted">
        <color indexed="64"/>
      </top>
      <bottom style="thin">
        <color rgb="FF000000"/>
      </bottom>
      <diagonal/>
    </border>
    <border>
      <left/>
      <right style="thin">
        <color rgb="FF000000"/>
      </right>
      <top style="dotted">
        <color indexed="64"/>
      </top>
      <bottom style="thin">
        <color rgb="FF000000"/>
      </bottom>
      <diagonal/>
    </border>
    <border>
      <left/>
      <right style="thin">
        <color rgb="FF000000"/>
      </right>
      <top style="dotted">
        <color indexed="64"/>
      </top>
      <bottom/>
      <diagonal/>
    </border>
    <border>
      <left/>
      <right style="thin">
        <color rgb="FF000000"/>
      </right>
      <top style="dotted">
        <color indexed="64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theme="0" tint="-0.249977111117893"/>
      </right>
      <top/>
      <bottom/>
      <diagonal/>
    </border>
  </borders>
  <cellStyleXfs count="4">
    <xf numFmtId="0" fontId="0" fillId="0" borderId="0"/>
    <xf numFmtId="43" fontId="1" fillId="0" borderId="0"/>
    <xf numFmtId="9" fontId="1" fillId="0" borderId="0"/>
    <xf numFmtId="0" fontId="8" fillId="0" borderId="0" applyNumberFormat="0" applyFill="0" applyBorder="0" applyAlignment="0" applyProtection="0"/>
  </cellStyleXfs>
  <cellXfs count="83">
    <xf numFmtId="0" fontId="0" fillId="0" borderId="0" xfId="0"/>
    <xf numFmtId="0" fontId="0" fillId="0" borderId="0" xfId="0" applyAlignment="1">
      <alignment horizontal="center"/>
    </xf>
    <xf numFmtId="43" fontId="0" fillId="0" borderId="0" xfId="1" applyFont="1" applyAlignment="1">
      <alignment horizontal="center"/>
    </xf>
    <xf numFmtId="0" fontId="0" fillId="0" borderId="0" xfId="0" applyAlignment="1">
      <alignment horizontal="left"/>
    </xf>
    <xf numFmtId="9" fontId="0" fillId="0" borderId="0" xfId="2" applyFont="1" applyAlignment="1">
      <alignment horizontal="center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43" fontId="2" fillId="2" borderId="0" xfId="1" applyFont="1" applyFill="1" applyAlignment="1">
      <alignment horizontal="center" vertical="center" wrapText="1"/>
    </xf>
    <xf numFmtId="9" fontId="2" fillId="2" borderId="0" xfId="2" applyFont="1" applyFill="1" applyAlignment="1">
      <alignment horizontal="center" vertical="center" wrapText="1"/>
    </xf>
    <xf numFmtId="14" fontId="0" fillId="0" borderId="0" xfId="0" applyNumberFormat="1" applyAlignment="1">
      <alignment horizontal="center"/>
    </xf>
    <xf numFmtId="43" fontId="0" fillId="0" borderId="0" xfId="1" applyFont="1"/>
    <xf numFmtId="164" fontId="0" fillId="0" borderId="0" xfId="0" applyNumberFormat="1" applyAlignment="1">
      <alignment horizontal="center"/>
    </xf>
    <xf numFmtId="0" fontId="0" fillId="0" borderId="0" xfId="0" applyAlignment="1">
      <alignment vertical="center"/>
    </xf>
    <xf numFmtId="4" fontId="0" fillId="0" borderId="0" xfId="0" applyNumberFormat="1"/>
    <xf numFmtId="3" fontId="0" fillId="0" borderId="0" xfId="0" applyNumberFormat="1" applyAlignment="1">
      <alignment horizontal="center"/>
    </xf>
    <xf numFmtId="0" fontId="3" fillId="0" borderId="0" xfId="0" applyFont="1"/>
    <xf numFmtId="43" fontId="1" fillId="0" borderId="0" xfId="1"/>
    <xf numFmtId="165" fontId="0" fillId="0" borderId="0" xfId="0" applyNumberFormat="1" applyAlignment="1">
      <alignment horizontal="center"/>
    </xf>
    <xf numFmtId="165" fontId="0" fillId="0" borderId="0" xfId="0" applyNumberFormat="1"/>
    <xf numFmtId="43" fontId="0" fillId="0" borderId="0" xfId="0" applyNumberFormat="1" applyAlignment="1">
      <alignment horizontal="center"/>
    </xf>
    <xf numFmtId="0" fontId="7" fillId="5" borderId="4" xfId="0" applyFont="1" applyFill="1" applyBorder="1"/>
    <xf numFmtId="0" fontId="7" fillId="0" borderId="4" xfId="0" applyFont="1" applyBorder="1"/>
    <xf numFmtId="0" fontId="4" fillId="0" borderId="4" xfId="0" applyFont="1" applyBorder="1"/>
    <xf numFmtId="0" fontId="7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5" fillId="3" borderId="4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wrapText="1"/>
    </xf>
    <xf numFmtId="0" fontId="7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10" fillId="0" borderId="9" xfId="0" applyFont="1" applyBorder="1"/>
    <xf numFmtId="0" fontId="10" fillId="0" borderId="10" xfId="0" applyFont="1" applyBorder="1"/>
    <xf numFmtId="0" fontId="10" fillId="0" borderId="11" xfId="0" applyFont="1" applyBorder="1"/>
    <xf numFmtId="0" fontId="10" fillId="0" borderId="1" xfId="0" applyFont="1" applyBorder="1"/>
    <xf numFmtId="0" fontId="10" fillId="0" borderId="13" xfId="0" applyFont="1" applyBorder="1"/>
    <xf numFmtId="0" fontId="10" fillId="0" borderId="10" xfId="0" applyFont="1" applyBorder="1" applyAlignment="1">
      <alignment wrapText="1"/>
    </xf>
    <xf numFmtId="0" fontId="10" fillId="0" borderId="0" xfId="0" applyFont="1"/>
    <xf numFmtId="0" fontId="10" fillId="0" borderId="14" xfId="0" applyFont="1" applyBorder="1"/>
    <xf numFmtId="0" fontId="10" fillId="0" borderId="15" xfId="0" applyFont="1" applyBorder="1"/>
    <xf numFmtId="0" fontId="7" fillId="0" borderId="11" xfId="0" applyFont="1" applyBorder="1"/>
    <xf numFmtId="0" fontId="7" fillId="0" borderId="15" xfId="0" applyFont="1" applyBorder="1"/>
    <xf numFmtId="0" fontId="8" fillId="0" borderId="11" xfId="3" applyFill="1" applyBorder="1" applyAlignment="1"/>
    <xf numFmtId="0" fontId="12" fillId="0" borderId="0" xfId="0" applyFont="1"/>
    <xf numFmtId="0" fontId="8" fillId="0" borderId="10" xfId="3" applyFill="1" applyBorder="1" applyAlignment="1"/>
    <xf numFmtId="0" fontId="9" fillId="6" borderId="6" xfId="0" applyFont="1" applyFill="1" applyBorder="1" applyAlignment="1">
      <alignment horizontal="center" wrapText="1"/>
    </xf>
    <xf numFmtId="0" fontId="9" fillId="6" borderId="6" xfId="0" applyFont="1" applyFill="1" applyBorder="1" applyAlignment="1">
      <alignment horizontal="center"/>
    </xf>
    <xf numFmtId="0" fontId="9" fillId="6" borderId="7" xfId="0" applyFont="1" applyFill="1" applyBorder="1" applyAlignment="1">
      <alignment horizontal="center"/>
    </xf>
    <xf numFmtId="0" fontId="9" fillId="6" borderId="8" xfId="0" applyFont="1" applyFill="1" applyBorder="1" applyAlignment="1">
      <alignment horizontal="center" vertical="center" wrapText="1"/>
    </xf>
    <xf numFmtId="0" fontId="9" fillId="7" borderId="8" xfId="0" applyFont="1" applyFill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/>
    </xf>
    <xf numFmtId="0" fontId="11" fillId="8" borderId="12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8" borderId="2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8" borderId="4" xfId="0" applyFont="1" applyFill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8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6" borderId="6" xfId="0" applyFont="1" applyFill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9" fillId="6" borderId="5" xfId="0" applyFont="1" applyFill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0" fillId="0" borderId="17" xfId="0" applyBorder="1" applyAlignment="1">
      <alignment horizontal="center"/>
    </xf>
    <xf numFmtId="0" fontId="5" fillId="3" borderId="0" xfId="0" applyFont="1" applyFill="1" applyAlignment="1">
      <alignment horizontal="center" vertical="center"/>
    </xf>
    <xf numFmtId="0" fontId="14" fillId="9" borderId="0" xfId="0" applyFont="1" applyFill="1" applyAlignment="1">
      <alignment horizontal="center"/>
    </xf>
    <xf numFmtId="0" fontId="15" fillId="0" borderId="0" xfId="0" applyFont="1" applyAlignment="1">
      <alignment horizontal="center"/>
    </xf>
    <xf numFmtId="164" fontId="0" fillId="10" borderId="0" xfId="0" applyNumberFormat="1" applyFill="1" applyAlignment="1">
      <alignment horizontal="center"/>
    </xf>
    <xf numFmtId="3" fontId="0" fillId="0" borderId="0" xfId="0" applyNumberFormat="1"/>
    <xf numFmtId="14" fontId="0" fillId="11" borderId="0" xfId="0" applyNumberFormat="1" applyFill="1" applyAlignment="1">
      <alignment horizontal="center"/>
    </xf>
  </cellXfs>
  <cellStyles count="4">
    <cellStyle name="Hyperlink" xfId="3" xr:uid="{00000000-000B-0000-0000-000008000000}"/>
    <cellStyle name="Normal" xfId="0" builtinId="0"/>
    <cellStyle name="Porcentagem" xfId="2" builtinId="5"/>
    <cellStyle name="Vírgula" xfId="1" builtinId="3"/>
  </cellStyles>
  <dxfs count="28">
    <dxf>
      <alignment horizontal="center" vertical="bottom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/>
    </dxf>
    <dxf>
      <alignment horizontal="general" vertical="bottom" textRotation="0" wrapText="0" indent="0" justifyLastLine="0" shrinkToFit="0" readingOrder="0"/>
    </dxf>
    <dxf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  <alignment horizontal="center" vertical="bottom"/>
    </dxf>
    <dxf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bottom"/>
    </dxf>
    <dxf>
      <numFmt numFmtId="164" formatCode="0_ ;[Red]\-0\ "/>
      <alignment horizontal="center" vertical="bottom" textRotation="0" wrapText="0" indent="0" justifyLastLine="0" shrinkToFit="0" readingOrder="0"/>
    </dxf>
    <dxf>
      <numFmt numFmtId="164" formatCode="0_ ;[Red]\-0\ "/>
      <alignment horizontal="center" vertical="bottom" textRotation="0" wrapText="0" indent="0" justifyLastLine="0" shrinkToFit="0" readingOrder="0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left" vertical="bottom"/>
    </dxf>
    <dxf>
      <alignment horizontal="left" vertical="bottom"/>
    </dxf>
    <dxf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19" formatCode="dd/mm/yyyy"/>
      <alignment horizontal="center" vertical="bottom"/>
    </dxf>
    <dxf>
      <numFmt numFmtId="19" formatCode="dd/mm/yyyy"/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</dxf>
    <dxf>
      <border outline="0">
        <top style="medium">
          <color indexed="64"/>
        </top>
      </border>
    </dxf>
    <dxf>
      <alignment horizontal="center" vertical="bottom"/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6" tint="-0.499984740745262"/>
        </patternFill>
      </fill>
      <alignment horizontal="center" vertical="center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2" displayName="Tabela2" ref="A1:Y1398" totalsRowShown="0" headerRowDxfId="27" dataDxfId="26" tableBorderDxfId="25">
  <autoFilter ref="A1:Y1398" xr:uid="{00000000-000C-0000-FFFF-FFFF00000000}"/>
  <sortState xmlns:xlrd2="http://schemas.microsoft.com/office/spreadsheetml/2017/richdata2" ref="A2:Y1396">
    <sortCondition ref="T1:T1396"/>
  </sortState>
  <tableColumns count="25">
    <tableColumn id="1" xr3:uid="{00000000-0010-0000-0000-000001000000}" name="Data Última Aprovação RC" dataDxfId="24"/>
    <tableColumn id="16" xr3:uid="{00000000-0010-0000-0000-000010000000}" name="Data_x000a_Pedido" dataDxfId="23"/>
    <tableColumn id="15" xr3:uid="{00000000-0010-0000-0000-00000F000000}" name="SLA Atendimento" dataDxfId="22">
      <calculatedColumnFormula>Tabela2[[#This Row],[Data
Pedido]]-Tabela2[[#This Row],[Data Última Aprovação RC]]</calculatedColumnFormula>
    </tableColumn>
    <tableColumn id="8" xr3:uid="{00000000-0010-0000-0000-000008000000}" name="Comprador" dataDxfId="21"/>
    <tableColumn id="3" xr3:uid="{00000000-0010-0000-0000-000003000000}" name="Área Requisitante" dataDxfId="20"/>
    <tableColumn id="4" xr3:uid="{00000000-0010-0000-0000-000004000000}" name="Fornecedor" dataDxfId="19"/>
    <tableColumn id="12" xr3:uid="{00000000-0010-0000-0000-00000C000000}" name="Tipo" dataDxfId="18"/>
    <tableColumn id="5" xr3:uid="{00000000-0010-0000-0000-000005000000}" name="Material /_x000a_Serviço" dataDxfId="17"/>
    <tableColumn id="10" xr3:uid="{00000000-0010-0000-0000-00000A000000}" name="SLA_x000a_Padrão" dataDxfId="16"/>
    <tableColumn id="17" xr3:uid="{00000000-0010-0000-0000-000011000000}" name="Atrasada / No prazo" dataDxfId="15">
      <calculatedColumnFormula>IF(A2="","",IF(B2="",IF(TODAY()-A2&gt;I2,"ATRASADA","EM ANDAMENTO"),IF(B2-A2&gt;I2,"ATRASADA","NO PRAZO")))</calculatedColumnFormula>
    </tableColumn>
    <tableColumn id="21" xr3:uid="{0422F230-3AA5-4A49-8D7F-2C6601A69463}" name="Δ _x000a_SLA Padrão_x000a_x _x000a_SLA Atendimento_x000a_" dataDxfId="14">
      <calculatedColumnFormula>Tabela2[[#This Row],[SLA
Padrão]]-Tabela2[[#This Row],[SLA Atendimento]]</calculatedColumnFormula>
    </tableColumn>
    <tableColumn id="23" xr3:uid="{1FBE03BC-177A-4BF7-BE3F-2E11523B79D4}" name="Preço Histórico" dataDxfId="13"/>
    <tableColumn id="6" xr3:uid="{00000000-0010-0000-0000-000006000000}" name="Proposta_x000a_ Inicial" dataDxfId="12" dataCellStyle="Vírgula"/>
    <tableColumn id="7" xr3:uid="{00000000-0010-0000-0000-000007000000}" name="Proposta_x000a_ Negociada" dataDxfId="11" dataCellStyle="Vírgula"/>
    <tableColumn id="9" xr3:uid="{00000000-0010-0000-0000-000009000000}" name="Moeda" dataDxfId="10"/>
    <tableColumn id="11" xr3:uid="{00000000-0010-0000-0000-00000B000000}" name="Saving + Cost _x000a_Total" dataDxfId="9" dataCellStyle="Vírgula">
      <calculatedColumnFormula>Tabela2[[#This Row],[Proposta
 Inicial]]-Tabela2[[#This Row],[Proposta
 Negociada]]</calculatedColumnFormula>
    </tableColumn>
    <tableColumn id="2" xr3:uid="{00000000-0010-0000-0000-000002000000}" name="% Redução" dataDxfId="8" dataCellStyle="Porcentagem">
      <calculatedColumnFormula>Tabela2[[#This Row],[Proposta
 Negociada]]/Tabela2[[#This Row],[Proposta
 Inicial]]-1</calculatedColumnFormula>
    </tableColumn>
    <tableColumn id="13" xr3:uid="{00000000-0010-0000-0000-00000D000000}" name="Modalidade" dataDxfId="7"/>
    <tableColumn id="18" xr3:uid="{00000000-0010-0000-0000-000012000000}" name="RC" dataDxfId="6"/>
    <tableColumn id="19" xr3:uid="{00000000-0010-0000-0000-000013000000}" name="Pedido Compras" dataDxfId="5"/>
    <tableColumn id="24" xr3:uid="{04A1E9F7-AECA-49FF-8B37-218D2A600175}" name="Previsão_x000a_Entrega" dataDxfId="4"/>
    <tableColumn id="25" xr3:uid="{A27E123B-1305-451E-B520-30F8C944E606}" name="Follow Up" dataDxfId="3"/>
    <tableColumn id="20" xr3:uid="{00000000-0010-0000-0000-000014000000}" name="NF" dataDxfId="2"/>
    <tableColumn id="22" xr3:uid="{2E0A74CF-30C9-43D4-B9DE-DB9824DFFB04}" name="RECEBIMENTO _x000a_CONCLUÍDO?" dataDxfId="1"/>
    <tableColumn id="14" xr3:uid="{00000000-0010-0000-0000-00000E000000}" name="FORNECEDOR _x000a_LOCAL?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lista.mercadolivre.com.br/_Frete_MercadoEnvios_CustId_293704667?item_id=MLB1378564222&amp;category_id=MLB235632&amp;seller_id=293704667&amp;client=recoview-selleritems&amp;recos_listing=true&amp;origin_type=cart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administracao@rjarcondicionado.com" TargetMode="External"/><Relationship Id="rId2" Type="http://schemas.openxmlformats.org/officeDocument/2006/relationships/hyperlink" Target="mailto:administracao@rjarcondicionado.com" TargetMode="External"/><Relationship Id="rId1" Type="http://schemas.openxmlformats.org/officeDocument/2006/relationships/hyperlink" Target="mailto:felipe@sistemainformatica.com.br" TargetMode="External"/><Relationship Id="rId4" Type="http://schemas.openxmlformats.org/officeDocument/2006/relationships/hyperlink" Target="https://www.google.com/search?q=floratta+po%C3%A7os&amp;sca_esv=ec6fce200ec4408c&amp;ei=zArMaeaUAYXS1sQP99_Y-AE&amp;biw=1707&amp;bih=772&amp;ved=0ahUKEwjmqv792sqTAxUFqZUCHfcvFh8Q4dUDCBE&amp;uact=5&amp;oq=floratta+po%C3%A7os&amp;gs_lp=Egxnd3Mtd2l6LXNlcnAiD2Zsb3JhdHRhIHBvw6dvczIGEAAYFhgeMgYQABgWGB4yBhAAGBYYHjIGEAAYFhgeMgYQABgWGB4yAhAmMggQABiABBiiBDIFEAAY7wUyCBAAGIAEGKIESMYOUCdY5wtwAXgBkAEAmAGHAaABgQaqAQMwLja4AQPIAQD4AQGYAgegApwGwgIKEAAYsAMY1gQYR8ICDRAAGIAEGLADGEMYigXCAgoQABiABBhDGIoFwgIFEAAYgASYAwCIBgGQBgqSBwMxLjagB9ghsgcDMC42uAeXBsIHBTAuNC4zyAcTgAgA&amp;sclient=gws-wiz-serp&amp;lqi=Cg9mbG9yYXR0YSBwb8Onb3NIzt3RguaAgIAIWhcQABgAGAEiD2Zsb3JhdHRhIHBvw6dvc5IBCmxhbmRzY2FwZX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398"/>
  <sheetViews>
    <sheetView showGridLines="0" tabSelected="1" topLeftCell="P1" zoomScale="80" zoomScaleNormal="80" workbookViewId="0">
      <pane ySplit="1" topLeftCell="J86" activePane="bottomLeft" state="frozen"/>
      <selection pane="bottomLeft" activeCell="U101" sqref="U101"/>
      <selection activeCell="A3" sqref="A3"/>
    </sheetView>
  </sheetViews>
  <sheetFormatPr defaultRowHeight="15" customHeight="1"/>
  <cols>
    <col min="1" max="1" width="15.5703125" style="1" customWidth="1"/>
    <col min="2" max="2" width="11.5703125" style="1" customWidth="1"/>
    <col min="3" max="3" width="14.140625" style="1" customWidth="1"/>
    <col min="4" max="4" width="17.140625" style="1" bestFit="1" customWidth="1"/>
    <col min="5" max="5" width="28.85546875" style="1" customWidth="1"/>
    <col min="6" max="6" width="48.28515625" style="3" customWidth="1"/>
    <col min="7" max="7" width="13.140625" style="3" bestFit="1" customWidth="1"/>
    <col min="8" max="8" width="27.140625" style="1" bestFit="1" customWidth="1"/>
    <col min="9" max="10" width="18.28515625" style="1" customWidth="1"/>
    <col min="11" max="11" width="20.7109375" style="1" customWidth="1"/>
    <col min="12" max="12" width="13.7109375" style="1" customWidth="1"/>
    <col min="13" max="13" width="14.42578125" style="2" bestFit="1" customWidth="1"/>
    <col min="14" max="14" width="15.5703125" style="2" bestFit="1" customWidth="1"/>
    <col min="15" max="15" width="12.140625" style="1" customWidth="1"/>
    <col min="16" max="16" width="17" style="2" customWidth="1"/>
    <col min="17" max="17" width="15.42578125" style="4" bestFit="1" customWidth="1"/>
    <col min="18" max="18" width="17" style="1" bestFit="1" customWidth="1"/>
    <col min="19" max="19" width="87.28515625" style="1" bestFit="1" customWidth="1"/>
    <col min="20" max="24" width="17" style="1" customWidth="1"/>
    <col min="25" max="25" width="20.85546875" style="1" bestFit="1" customWidth="1"/>
  </cols>
  <sheetData>
    <row r="1" spans="1:25" ht="51.6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6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7" t="s">
        <v>12</v>
      </c>
      <c r="N1" s="7" t="s">
        <v>13</v>
      </c>
      <c r="O1" s="6" t="s">
        <v>14</v>
      </c>
      <c r="P1" s="7" t="s">
        <v>15</v>
      </c>
      <c r="Q1" s="8" t="s">
        <v>16</v>
      </c>
      <c r="R1" s="6" t="s">
        <v>17</v>
      </c>
      <c r="S1" s="6" t="s">
        <v>18</v>
      </c>
      <c r="T1" s="6" t="s">
        <v>19</v>
      </c>
      <c r="U1" s="5" t="s">
        <v>20</v>
      </c>
      <c r="V1" s="5" t="s">
        <v>21</v>
      </c>
      <c r="W1" s="6" t="s">
        <v>22</v>
      </c>
      <c r="X1" s="5" t="s">
        <v>23</v>
      </c>
      <c r="Y1" s="5" t="s">
        <v>24</v>
      </c>
    </row>
    <row r="2" spans="1:25" ht="14.45">
      <c r="A2" s="9">
        <v>46209</v>
      </c>
      <c r="B2" s="9">
        <v>46206</v>
      </c>
      <c r="C2" s="1">
        <f t="shared" ref="C2:C65" si="0">IF(OR(A2="",B2=""),"",B2-A2)</f>
        <v>-3</v>
      </c>
      <c r="D2" s="1" t="s">
        <v>25</v>
      </c>
      <c r="E2" s="1" t="s">
        <v>26</v>
      </c>
      <c r="F2" s="3" t="s">
        <v>27</v>
      </c>
      <c r="G2" s="3" t="s">
        <v>28</v>
      </c>
      <c r="H2" s="1" t="s">
        <v>29</v>
      </c>
      <c r="I2" s="1">
        <f>IFERROR(VLOOKUP(H2,SLA_Ref!$A$1:$B$8,2,FALSE),"")</f>
        <v>3</v>
      </c>
      <c r="J2" s="1" t="str">
        <f t="shared" ref="J2:J40" ca="1" si="1">IF(A2="","",IF(B2="",IF(TODAY()-A2&gt;I2,"ATRASADA","EM ANDAMENTO"),IF(B2-A2&gt;I2,"ATRASADA","NO PRAZO")))</f>
        <v>NO PRAZO</v>
      </c>
      <c r="K2" s="11">
        <f>Tabela2[[#This Row],[SLA
Padrão]]-Tabela2[[#This Row],[SLA Atendimento]]</f>
        <v>6</v>
      </c>
      <c r="L2" s="11"/>
      <c r="M2" s="2">
        <v>448.01</v>
      </c>
      <c r="N2" s="2">
        <v>448.01</v>
      </c>
      <c r="O2" s="1" t="s">
        <v>30</v>
      </c>
      <c r="P2" s="2">
        <f>Tabela2[[#This Row],[Proposta
 Inicial]]-Tabela2[[#This Row],[Proposta
 Negociada]]</f>
        <v>0</v>
      </c>
      <c r="Q2" s="4">
        <f>Tabela2[[#This Row],[Proposta
 Negociada]]/Tabela2[[#This Row],[Proposta
 Inicial]]-1</f>
        <v>0</v>
      </c>
      <c r="S2" t="s">
        <v>31</v>
      </c>
      <c r="T2" s="1">
        <v>450000024</v>
      </c>
      <c r="X2" s="1" t="s">
        <v>32</v>
      </c>
      <c r="Y2" s="1" t="s">
        <v>32</v>
      </c>
    </row>
    <row r="3" spans="1:25" ht="14.45">
      <c r="A3" s="9">
        <v>46209</v>
      </c>
      <c r="B3" s="9">
        <v>46204</v>
      </c>
      <c r="C3" s="1">
        <f t="shared" si="0"/>
        <v>-5</v>
      </c>
      <c r="D3" s="1" t="s">
        <v>25</v>
      </c>
      <c r="E3" s="1" t="s">
        <v>26</v>
      </c>
      <c r="F3" s="3" t="s">
        <v>33</v>
      </c>
      <c r="G3" s="3" t="s">
        <v>28</v>
      </c>
      <c r="H3" s="1" t="s">
        <v>29</v>
      </c>
      <c r="I3" s="1">
        <f>IFERROR(VLOOKUP(H3,SLA_Ref!$A$1:$B$8,2,FALSE),"")</f>
        <v>3</v>
      </c>
      <c r="J3" s="1" t="str">
        <f t="shared" ca="1" si="1"/>
        <v>NO PRAZO</v>
      </c>
      <c r="K3" s="11">
        <f>Tabela2[[#This Row],[SLA
Padrão]]-Tabela2[[#This Row],[SLA Atendimento]]</f>
        <v>8</v>
      </c>
      <c r="L3" s="11"/>
      <c r="M3" s="2">
        <v>51.9</v>
      </c>
      <c r="N3" s="2">
        <v>51.9</v>
      </c>
      <c r="O3" s="1" t="s">
        <v>30</v>
      </c>
      <c r="P3" s="2">
        <f>Tabela2[[#This Row],[Proposta
 Inicial]]-Tabela2[[#This Row],[Proposta
 Negociada]]</f>
        <v>0</v>
      </c>
      <c r="Q3" s="4">
        <f>Tabela2[[#This Row],[Proposta
 Negociada]]/Tabela2[[#This Row],[Proposta
 Inicial]]-1</f>
        <v>0</v>
      </c>
      <c r="S3" t="s">
        <v>34</v>
      </c>
      <c r="T3" s="1">
        <v>450000024</v>
      </c>
      <c r="X3" s="1" t="s">
        <v>32</v>
      </c>
      <c r="Y3" s="1" t="s">
        <v>35</v>
      </c>
    </row>
    <row r="4" spans="1:25" ht="14.45">
      <c r="A4" s="9">
        <v>46202</v>
      </c>
      <c r="B4" s="9">
        <v>46205</v>
      </c>
      <c r="C4" s="1">
        <f t="shared" si="0"/>
        <v>3</v>
      </c>
      <c r="D4" s="1" t="s">
        <v>36</v>
      </c>
      <c r="E4" s="1" t="s">
        <v>37</v>
      </c>
      <c r="F4" s="3" t="s">
        <v>38</v>
      </c>
      <c r="G4" s="3" t="s">
        <v>39</v>
      </c>
      <c r="H4" s="1" t="s">
        <v>40</v>
      </c>
      <c r="I4" s="1">
        <f>IFERROR(VLOOKUP(H4,SLA_Ref!$A$1:$B$8,2,FALSE),"")</f>
        <v>30</v>
      </c>
      <c r="J4" s="1" t="str">
        <f t="shared" ca="1" si="1"/>
        <v>NO PRAZO</v>
      </c>
      <c r="K4" s="11">
        <f>Tabela2[[#This Row],[SLA
Padrão]]-Tabela2[[#This Row],[SLA Atendimento]]</f>
        <v>27</v>
      </c>
      <c r="L4" s="19">
        <v>5900</v>
      </c>
      <c r="M4" s="2">
        <f>5900*12</f>
        <v>70800</v>
      </c>
      <c r="N4" s="2">
        <f>4200*12</f>
        <v>50400</v>
      </c>
      <c r="O4" s="1" t="s">
        <v>30</v>
      </c>
      <c r="P4" s="2">
        <f>Tabela2[[#This Row],[Proposta
 Inicial]]-Tabela2[[#This Row],[Proposta
 Negociada]]</f>
        <v>20400</v>
      </c>
      <c r="Q4" s="4">
        <f>Tabela2[[#This Row],[Proposta
 Negociada]]/Tabela2[[#This Row],[Proposta
 Inicial]]-1</f>
        <v>-0.28813559322033899</v>
      </c>
      <c r="R4" s="1" t="s">
        <v>41</v>
      </c>
      <c r="S4" t="s">
        <v>42</v>
      </c>
      <c r="T4" s="1">
        <v>450000170</v>
      </c>
      <c r="W4" s="1">
        <v>148</v>
      </c>
      <c r="X4" s="1" t="s">
        <v>43</v>
      </c>
      <c r="Y4" s="1" t="s">
        <v>32</v>
      </c>
    </row>
    <row r="5" spans="1:25" ht="14.45">
      <c r="A5" s="9">
        <v>46199</v>
      </c>
      <c r="B5" s="9">
        <v>46204</v>
      </c>
      <c r="C5" s="1">
        <f t="shared" si="0"/>
        <v>5</v>
      </c>
      <c r="D5" s="1" t="s">
        <v>36</v>
      </c>
      <c r="E5" s="1" t="s">
        <v>44</v>
      </c>
      <c r="F5" s="3" t="s">
        <v>45</v>
      </c>
      <c r="G5" s="3" t="s">
        <v>28</v>
      </c>
      <c r="H5" s="1" t="s">
        <v>46</v>
      </c>
      <c r="I5" s="1">
        <f>IFERROR(VLOOKUP(H5,SLA_Ref!$A$1:$B$8,2,FALSE),"")</f>
        <v>8</v>
      </c>
      <c r="J5" s="1" t="str">
        <f t="shared" ca="1" si="1"/>
        <v>NO PRAZO</v>
      </c>
      <c r="K5" s="11">
        <f>Tabela2[[#This Row],[SLA
Padrão]]-Tabela2[[#This Row],[SLA Atendimento]]</f>
        <v>3</v>
      </c>
      <c r="L5" s="11"/>
      <c r="M5" s="2">
        <v>137.80000000000001</v>
      </c>
      <c r="N5" s="2">
        <v>137.80000000000001</v>
      </c>
      <c r="O5" s="1" t="s">
        <v>30</v>
      </c>
      <c r="P5" s="2">
        <f>Tabela2[[#This Row],[Proposta
 Inicial]]-Tabela2[[#This Row],[Proposta
 Negociada]]</f>
        <v>0</v>
      </c>
      <c r="Q5" s="4">
        <f>Tabela2[[#This Row],[Proposta
 Negociada]]/Tabela2[[#This Row],[Proposta
 Inicial]]-1</f>
        <v>0</v>
      </c>
      <c r="S5" t="s">
        <v>47</v>
      </c>
      <c r="T5" s="1">
        <v>450000222</v>
      </c>
      <c r="W5" s="1">
        <v>213915</v>
      </c>
      <c r="X5" s="1" t="s">
        <v>32</v>
      </c>
      <c r="Y5" s="1" t="s">
        <v>32</v>
      </c>
    </row>
    <row r="6" spans="1:25" ht="14.45">
      <c r="A6" s="9">
        <v>46202</v>
      </c>
      <c r="B6" s="9">
        <v>46204</v>
      </c>
      <c r="C6" s="1">
        <f t="shared" si="0"/>
        <v>2</v>
      </c>
      <c r="D6" s="1" t="s">
        <v>36</v>
      </c>
      <c r="E6" s="1" t="s">
        <v>44</v>
      </c>
      <c r="F6" s="3" t="s">
        <v>48</v>
      </c>
      <c r="G6" s="3" t="s">
        <v>28</v>
      </c>
      <c r="H6" s="1" t="s">
        <v>46</v>
      </c>
      <c r="I6" s="1">
        <f>IFERROR(VLOOKUP(H6,SLA_Ref!$A$1:$B$8,2,FALSE),"")</f>
        <v>8</v>
      </c>
      <c r="J6" s="1" t="str">
        <f t="shared" ca="1" si="1"/>
        <v>NO PRAZO</v>
      </c>
      <c r="K6" s="11">
        <f>Tabela2[[#This Row],[SLA
Padrão]]-Tabela2[[#This Row],[SLA Atendimento]]</f>
        <v>6</v>
      </c>
      <c r="L6" s="11"/>
      <c r="M6" s="10">
        <v>50</v>
      </c>
      <c r="N6" s="2">
        <v>50</v>
      </c>
      <c r="O6" s="1" t="s">
        <v>30</v>
      </c>
      <c r="P6" s="2">
        <f>Tabela2[[#This Row],[Proposta
 Inicial]]-Tabela2[[#This Row],[Proposta
 Negociada]]</f>
        <v>0</v>
      </c>
      <c r="Q6" s="4">
        <f>Tabela2[[#This Row],[Proposta
 Negociada]]/Tabela2[[#This Row],[Proposta
 Inicial]]-1</f>
        <v>0</v>
      </c>
      <c r="S6" t="s">
        <v>49</v>
      </c>
      <c r="T6" s="1">
        <v>450000223</v>
      </c>
      <c r="W6" s="1">
        <v>54762</v>
      </c>
      <c r="X6" s="1" t="s">
        <v>32</v>
      </c>
      <c r="Y6" s="1" t="s">
        <v>32</v>
      </c>
    </row>
    <row r="7" spans="1:25" ht="14.45">
      <c r="A7" s="9">
        <v>46202</v>
      </c>
      <c r="B7" s="9">
        <v>46204</v>
      </c>
      <c r="C7" s="1">
        <f t="shared" si="0"/>
        <v>2</v>
      </c>
      <c r="D7" s="1" t="s">
        <v>25</v>
      </c>
      <c r="E7" s="1" t="s">
        <v>44</v>
      </c>
      <c r="F7" s="3" t="s">
        <v>50</v>
      </c>
      <c r="G7" s="3" t="s">
        <v>28</v>
      </c>
      <c r="H7" s="1" t="s">
        <v>46</v>
      </c>
      <c r="I7" s="1">
        <f>IFERROR(VLOOKUP(H7,SLA_Ref!$A$1:$B$8,2,FALSE),"")</f>
        <v>8</v>
      </c>
      <c r="J7" s="1" t="str">
        <f t="shared" ca="1" si="1"/>
        <v>NO PRAZO</v>
      </c>
      <c r="K7" s="11">
        <f>Tabela2[[#This Row],[SLA
Padrão]]-Tabela2[[#This Row],[SLA Atendimento]]</f>
        <v>6</v>
      </c>
      <c r="L7" s="11"/>
      <c r="M7" s="2">
        <v>18.98</v>
      </c>
      <c r="N7" s="2">
        <v>18.98</v>
      </c>
      <c r="O7" s="1" t="s">
        <v>30</v>
      </c>
      <c r="P7" s="2">
        <f>Tabela2[[#This Row],[Proposta
 Inicial]]-Tabela2[[#This Row],[Proposta
 Negociada]]</f>
        <v>0</v>
      </c>
      <c r="Q7" s="4">
        <f>Tabela2[[#This Row],[Proposta
 Negociada]]/Tabela2[[#This Row],[Proposta
 Inicial]]-1</f>
        <v>0</v>
      </c>
      <c r="S7" t="s">
        <v>51</v>
      </c>
      <c r="T7" s="1">
        <v>450000224</v>
      </c>
      <c r="X7" s="1" t="s">
        <v>35</v>
      </c>
      <c r="Y7" s="1" t="s">
        <v>32</v>
      </c>
    </row>
    <row r="8" spans="1:25" ht="14.45">
      <c r="A8" s="9">
        <v>46203</v>
      </c>
      <c r="B8" s="9">
        <v>46205</v>
      </c>
      <c r="C8" s="1">
        <f t="shared" si="0"/>
        <v>2</v>
      </c>
      <c r="D8" s="1" t="s">
        <v>36</v>
      </c>
      <c r="E8" s="1" t="s">
        <v>52</v>
      </c>
      <c r="F8" t="s">
        <v>53</v>
      </c>
      <c r="G8" s="3" t="s">
        <v>28</v>
      </c>
      <c r="H8" s="1" t="s">
        <v>29</v>
      </c>
      <c r="I8" s="1">
        <f>IFERROR(VLOOKUP(H8,SLA_Ref!$A$1:$B$8,2,FALSE),"")</f>
        <v>3</v>
      </c>
      <c r="J8" s="1" t="str">
        <f t="shared" ca="1" si="1"/>
        <v>NO PRAZO</v>
      </c>
      <c r="K8" s="11">
        <f>Tabela2[[#This Row],[SLA
Padrão]]-Tabela2[[#This Row],[SLA Atendimento]]</f>
        <v>1</v>
      </c>
      <c r="L8" s="11"/>
      <c r="M8" s="2">
        <v>3880</v>
      </c>
      <c r="N8" s="2">
        <v>3880</v>
      </c>
      <c r="O8" s="1" t="s">
        <v>30</v>
      </c>
      <c r="P8" s="2">
        <f>Tabela2[[#This Row],[Proposta
 Inicial]]-Tabela2[[#This Row],[Proposta
 Negociada]]</f>
        <v>0</v>
      </c>
      <c r="Q8" s="4">
        <f>Tabela2[[#This Row],[Proposta
 Negociada]]/Tabela2[[#This Row],[Proposta
 Inicial]]-1</f>
        <v>0</v>
      </c>
      <c r="S8" t="s">
        <v>54</v>
      </c>
      <c r="T8" s="1">
        <v>450000226</v>
      </c>
      <c r="W8" s="1">
        <v>246857</v>
      </c>
      <c r="X8" s="1" t="s">
        <v>32</v>
      </c>
      <c r="Y8" s="1" t="s">
        <v>35</v>
      </c>
    </row>
    <row r="9" spans="1:25" ht="14.45">
      <c r="A9" s="9">
        <v>46204</v>
      </c>
      <c r="B9" s="9">
        <v>46205</v>
      </c>
      <c r="C9" s="1">
        <f t="shared" si="0"/>
        <v>1</v>
      </c>
      <c r="D9" s="1" t="s">
        <v>36</v>
      </c>
      <c r="E9" s="1" t="s">
        <v>55</v>
      </c>
      <c r="F9" t="s">
        <v>56</v>
      </c>
      <c r="G9" s="3" t="s">
        <v>28</v>
      </c>
      <c r="H9" s="1" t="s">
        <v>29</v>
      </c>
      <c r="I9" s="1">
        <f>IFERROR(VLOOKUP(H9,SLA_Ref!$A$1:$B$8,2,FALSE),"")</f>
        <v>3</v>
      </c>
      <c r="J9" s="1" t="str">
        <f t="shared" ca="1" si="1"/>
        <v>NO PRAZO</v>
      </c>
      <c r="K9" s="11">
        <f>Tabela2[[#This Row],[SLA
Padrão]]-Tabela2[[#This Row],[SLA Atendimento]]</f>
        <v>2</v>
      </c>
      <c r="L9" s="11"/>
      <c r="M9" s="2">
        <v>25591</v>
      </c>
      <c r="N9" s="2">
        <v>23800</v>
      </c>
      <c r="O9" s="1" t="s">
        <v>30</v>
      </c>
      <c r="P9" s="2">
        <f>Tabela2[[#This Row],[Proposta
 Inicial]]-Tabela2[[#This Row],[Proposta
 Negociada]]</f>
        <v>1791</v>
      </c>
      <c r="Q9" s="4">
        <f>Tabela2[[#This Row],[Proposta
 Negociada]]/Tabela2[[#This Row],[Proposta
 Inicial]]-1</f>
        <v>-6.998554179203631E-2</v>
      </c>
      <c r="R9" s="1" t="s">
        <v>57</v>
      </c>
      <c r="S9" t="s">
        <v>58</v>
      </c>
      <c r="T9" s="1">
        <v>450000227</v>
      </c>
      <c r="X9" s="1" t="s">
        <v>35</v>
      </c>
      <c r="Y9" s="1" t="s">
        <v>35</v>
      </c>
    </row>
    <row r="10" spans="1:25" ht="14.45">
      <c r="A10" s="9">
        <v>46202</v>
      </c>
      <c r="B10" s="9">
        <v>46205</v>
      </c>
      <c r="C10" s="1">
        <f t="shared" si="0"/>
        <v>3</v>
      </c>
      <c r="D10" s="1" t="s">
        <v>36</v>
      </c>
      <c r="E10" s="1" t="s">
        <v>44</v>
      </c>
      <c r="F10" s="3" t="s">
        <v>59</v>
      </c>
      <c r="G10" s="3" t="s">
        <v>28</v>
      </c>
      <c r="H10" s="1" t="s">
        <v>46</v>
      </c>
      <c r="I10" s="1">
        <f>IFERROR(VLOOKUP(H10,SLA_Ref!$A$1:$B$8,2,FALSE),"")</f>
        <v>8</v>
      </c>
      <c r="J10" s="1" t="str">
        <f t="shared" ca="1" si="1"/>
        <v>NO PRAZO</v>
      </c>
      <c r="K10" s="11">
        <f>Tabela2[[#This Row],[SLA
Padrão]]-Tabela2[[#This Row],[SLA Atendimento]]</f>
        <v>5</v>
      </c>
      <c r="L10" s="11"/>
      <c r="M10" s="2">
        <v>63.99</v>
      </c>
      <c r="N10" s="2">
        <v>63.99</v>
      </c>
      <c r="O10" s="1" t="s">
        <v>30</v>
      </c>
      <c r="P10" s="2">
        <f>Tabela2[[#This Row],[Proposta
 Inicial]]-Tabela2[[#This Row],[Proposta
 Negociada]]</f>
        <v>0</v>
      </c>
      <c r="Q10" s="4">
        <f>Tabela2[[#This Row],[Proposta
 Negociada]]/Tabela2[[#This Row],[Proposta
 Inicial]]-1</f>
        <v>0</v>
      </c>
      <c r="S10" t="s">
        <v>60</v>
      </c>
      <c r="T10" s="1">
        <v>450000228</v>
      </c>
      <c r="W10" s="1">
        <v>1912</v>
      </c>
      <c r="X10" s="1" t="s">
        <v>32</v>
      </c>
      <c r="Y10" s="1" t="s">
        <v>32</v>
      </c>
    </row>
    <row r="11" spans="1:25" ht="14.45">
      <c r="A11" s="9">
        <v>46189</v>
      </c>
      <c r="B11" s="9">
        <v>46205</v>
      </c>
      <c r="C11" s="1">
        <f t="shared" si="0"/>
        <v>16</v>
      </c>
      <c r="D11" s="1" t="s">
        <v>36</v>
      </c>
      <c r="E11" s="1" t="s">
        <v>61</v>
      </c>
      <c r="F11" s="3" t="s">
        <v>62</v>
      </c>
      <c r="G11" s="3" t="s">
        <v>28</v>
      </c>
      <c r="H11" s="1" t="s">
        <v>40</v>
      </c>
      <c r="I11" s="1">
        <v>30</v>
      </c>
      <c r="J11" s="1" t="str">
        <f t="shared" ca="1" si="1"/>
        <v>NO PRAZO</v>
      </c>
      <c r="K11" s="11">
        <f>Tabela2[[#This Row],[SLA
Padrão]]-Tabela2[[#This Row],[SLA Atendimento]]</f>
        <v>14</v>
      </c>
      <c r="L11" s="11"/>
      <c r="M11" s="2">
        <v>120000</v>
      </c>
      <c r="N11" s="2">
        <v>108000</v>
      </c>
      <c r="O11" s="1" t="s">
        <v>30</v>
      </c>
      <c r="P11" s="2">
        <f>Tabela2[[#This Row],[Proposta
 Inicial]]-Tabela2[[#This Row],[Proposta
 Negociada]]</f>
        <v>12000</v>
      </c>
      <c r="Q11" s="4">
        <f>Tabela2[[#This Row],[Proposta
 Negociada]]/Tabela2[[#This Row],[Proposta
 Inicial]]-1</f>
        <v>-9.9999999999999978E-2</v>
      </c>
      <c r="R11" s="1" t="s">
        <v>57</v>
      </c>
      <c r="S11" t="s">
        <v>63</v>
      </c>
      <c r="T11" s="1">
        <v>450000229</v>
      </c>
      <c r="W11" s="1">
        <v>87</v>
      </c>
      <c r="X11" s="1" t="s">
        <v>32</v>
      </c>
      <c r="Y11" s="1" t="s">
        <v>35</v>
      </c>
    </row>
    <row r="12" spans="1:25" ht="14.45">
      <c r="A12" s="9">
        <v>46203</v>
      </c>
      <c r="B12" s="9">
        <v>46206</v>
      </c>
      <c r="C12" s="1">
        <f t="shared" si="0"/>
        <v>3</v>
      </c>
      <c r="D12" s="1" t="s">
        <v>36</v>
      </c>
      <c r="E12" s="1" t="s">
        <v>55</v>
      </c>
      <c r="F12" s="3" t="s">
        <v>64</v>
      </c>
      <c r="G12" s="3" t="s">
        <v>28</v>
      </c>
      <c r="H12" s="1" t="s">
        <v>46</v>
      </c>
      <c r="I12" s="1">
        <f>IFERROR(VLOOKUP(H12,SLA_Ref!$A$1:$B$8,2,FALSE),"")</f>
        <v>8</v>
      </c>
      <c r="J12" s="1" t="str">
        <f t="shared" ca="1" si="1"/>
        <v>NO PRAZO</v>
      </c>
      <c r="K12" s="11">
        <f>Tabela2[[#This Row],[SLA
Padrão]]-Tabela2[[#This Row],[SLA Atendimento]]</f>
        <v>5</v>
      </c>
      <c r="L12" s="11"/>
      <c r="M12" s="2">
        <v>110</v>
      </c>
      <c r="N12" s="2">
        <v>110</v>
      </c>
      <c r="O12" s="1" t="s">
        <v>30</v>
      </c>
      <c r="P12" s="2">
        <f>Tabela2[[#This Row],[Proposta
 Inicial]]-Tabela2[[#This Row],[Proposta
 Negociada]]</f>
        <v>0</v>
      </c>
      <c r="Q12" s="4">
        <f>Tabela2[[#This Row],[Proposta
 Negociada]]/Tabela2[[#This Row],[Proposta
 Inicial]]-1</f>
        <v>0</v>
      </c>
      <c r="S12" t="s">
        <v>65</v>
      </c>
      <c r="T12" s="1">
        <v>450000231</v>
      </c>
      <c r="W12" s="1">
        <v>6612</v>
      </c>
      <c r="X12" s="1" t="s">
        <v>32</v>
      </c>
      <c r="Y12" s="1" t="s">
        <v>32</v>
      </c>
    </row>
    <row r="13" spans="1:25" ht="14.45">
      <c r="A13" s="9">
        <v>46202</v>
      </c>
      <c r="B13" s="9">
        <v>46206</v>
      </c>
      <c r="C13" s="1">
        <f t="shared" si="0"/>
        <v>4</v>
      </c>
      <c r="D13" s="1" t="s">
        <v>25</v>
      </c>
      <c r="E13" s="1" t="s">
        <v>66</v>
      </c>
      <c r="F13" s="3" t="s">
        <v>67</v>
      </c>
      <c r="G13" s="3" t="s">
        <v>28</v>
      </c>
      <c r="H13" s="1" t="s">
        <v>68</v>
      </c>
      <c r="I13" s="1">
        <f>IFERROR(VLOOKUP(H13,SLA_Ref!$A$1:$B$8,2,FALSE),"")</f>
        <v>15</v>
      </c>
      <c r="J13" s="1" t="str">
        <f t="shared" ca="1" si="1"/>
        <v>NO PRAZO</v>
      </c>
      <c r="K13" s="11">
        <f>Tabela2[[#This Row],[SLA
Padrão]]-Tabela2[[#This Row],[SLA Atendimento]]</f>
        <v>11</v>
      </c>
      <c r="L13" s="11"/>
      <c r="M13" s="2">
        <v>900</v>
      </c>
      <c r="N13" s="2">
        <v>800</v>
      </c>
      <c r="O13" s="1" t="s">
        <v>30</v>
      </c>
      <c r="P13" s="2">
        <f>Tabela2[[#This Row],[Proposta
 Inicial]]-Tabela2[[#This Row],[Proposta
 Negociada]]</f>
        <v>100</v>
      </c>
      <c r="Q13" s="4">
        <f>Tabela2[[#This Row],[Proposta
 Negociada]]/Tabela2[[#This Row],[Proposta
 Inicial]]-1</f>
        <v>-0.11111111111111116</v>
      </c>
      <c r="R13" s="1" t="s">
        <v>57</v>
      </c>
      <c r="S13" t="s">
        <v>69</v>
      </c>
      <c r="T13" s="1">
        <v>450000232</v>
      </c>
      <c r="X13" s="1" t="s">
        <v>35</v>
      </c>
      <c r="Y13" s="1" t="s">
        <v>32</v>
      </c>
    </row>
    <row r="14" spans="1:25" ht="14.45">
      <c r="A14" s="9">
        <v>46205</v>
      </c>
      <c r="B14" s="9">
        <v>46206</v>
      </c>
      <c r="C14" s="1">
        <f t="shared" si="0"/>
        <v>1</v>
      </c>
      <c r="D14" s="1" t="s">
        <v>25</v>
      </c>
      <c r="E14" s="1" t="s">
        <v>70</v>
      </c>
      <c r="F14" s="3" t="s">
        <v>71</v>
      </c>
      <c r="G14" s="3" t="s">
        <v>28</v>
      </c>
      <c r="H14" s="1" t="s">
        <v>29</v>
      </c>
      <c r="I14" s="1">
        <f>IFERROR(VLOOKUP(H14,SLA_Ref!$A$1:$B$8,2,FALSE),"")</f>
        <v>3</v>
      </c>
      <c r="J14" s="1" t="str">
        <f t="shared" ca="1" si="1"/>
        <v>NO PRAZO</v>
      </c>
      <c r="K14" s="11">
        <f>Tabela2[[#This Row],[SLA
Padrão]]-Tabela2[[#This Row],[SLA Atendimento]]</f>
        <v>2</v>
      </c>
      <c r="L14" s="11"/>
      <c r="M14" s="2">
        <v>8137.5</v>
      </c>
      <c r="N14" s="2">
        <v>8137.5</v>
      </c>
      <c r="O14" s="1" t="s">
        <v>30</v>
      </c>
      <c r="P14" s="2">
        <f>Tabela2[[#This Row],[Proposta
 Inicial]]-Tabela2[[#This Row],[Proposta
 Negociada]]</f>
        <v>0</v>
      </c>
      <c r="Q14" s="4">
        <f>Tabela2[[#This Row],[Proposta
 Negociada]]/Tabela2[[#This Row],[Proposta
 Inicial]]-1</f>
        <v>0</v>
      </c>
      <c r="S14" t="s">
        <v>72</v>
      </c>
      <c r="T14" s="1">
        <v>450000233</v>
      </c>
      <c r="W14" s="1">
        <v>564328</v>
      </c>
      <c r="X14" s="1" t="s">
        <v>32</v>
      </c>
      <c r="Y14" s="1" t="s">
        <v>35</v>
      </c>
    </row>
    <row r="15" spans="1:25" ht="14.45">
      <c r="A15" s="9">
        <v>46204</v>
      </c>
      <c r="B15" s="9">
        <v>46209</v>
      </c>
      <c r="C15" s="1">
        <f t="shared" si="0"/>
        <v>5</v>
      </c>
      <c r="D15" s="1" t="s">
        <v>36</v>
      </c>
      <c r="E15" s="1" t="s">
        <v>73</v>
      </c>
      <c r="F15" t="s">
        <v>74</v>
      </c>
      <c r="G15" s="3" t="s">
        <v>28</v>
      </c>
      <c r="H15" s="1" t="s">
        <v>68</v>
      </c>
      <c r="I15" s="1">
        <f>IFERROR(VLOOKUP(H15,SLA_Ref!$A$1:$B$8,2,FALSE),"")</f>
        <v>15</v>
      </c>
      <c r="J15" s="1" t="str">
        <f t="shared" ca="1" si="1"/>
        <v>NO PRAZO</v>
      </c>
      <c r="K15" s="11">
        <f>Tabela2[[#This Row],[SLA
Padrão]]-Tabela2[[#This Row],[SLA Atendimento]]</f>
        <v>10</v>
      </c>
      <c r="L15" s="11"/>
      <c r="M15" s="2">
        <f>14.95*100</f>
        <v>1495</v>
      </c>
      <c r="N15" s="2">
        <f>13.95*100</f>
        <v>1395</v>
      </c>
      <c r="O15" s="1" t="s">
        <v>30</v>
      </c>
      <c r="P15" s="2">
        <f>Tabela2[[#This Row],[Proposta
 Inicial]]-Tabela2[[#This Row],[Proposta
 Negociada]]</f>
        <v>100</v>
      </c>
      <c r="Q15" s="4">
        <f>Tabela2[[#This Row],[Proposta
 Negociada]]/Tabela2[[#This Row],[Proposta
 Inicial]]-1</f>
        <v>-6.6889632107023367E-2</v>
      </c>
      <c r="R15" s="1" t="s">
        <v>57</v>
      </c>
      <c r="S15" t="s">
        <v>75</v>
      </c>
      <c r="T15" s="1">
        <v>450000234</v>
      </c>
      <c r="W15" s="1">
        <v>23103</v>
      </c>
      <c r="X15" s="1" t="s">
        <v>32</v>
      </c>
      <c r="Y15" s="1" t="s">
        <v>35</v>
      </c>
    </row>
    <row r="16" spans="1:25" ht="14.45">
      <c r="A16" s="9">
        <v>46203</v>
      </c>
      <c r="B16" s="9">
        <v>46209</v>
      </c>
      <c r="C16" s="1">
        <f t="shared" si="0"/>
        <v>6</v>
      </c>
      <c r="D16" s="1" t="s">
        <v>36</v>
      </c>
      <c r="E16" s="1" t="s">
        <v>55</v>
      </c>
      <c r="F16" s="3" t="s">
        <v>76</v>
      </c>
      <c r="G16" s="3" t="s">
        <v>28</v>
      </c>
      <c r="H16" s="1" t="s">
        <v>68</v>
      </c>
      <c r="I16" s="1">
        <f>IFERROR(VLOOKUP(H16,SLA_Ref!$A$1:$B$8,2,FALSE),"")</f>
        <v>15</v>
      </c>
      <c r="J16" s="1" t="str">
        <f t="shared" ca="1" si="1"/>
        <v>NO PRAZO</v>
      </c>
      <c r="K16" s="11">
        <f>Tabela2[[#This Row],[SLA
Padrão]]-Tabela2[[#This Row],[SLA Atendimento]]</f>
        <v>9</v>
      </c>
      <c r="L16" s="11"/>
      <c r="M16" s="2">
        <v>2051.8000000000002</v>
      </c>
      <c r="N16" s="2">
        <v>2051.8000000000002</v>
      </c>
      <c r="O16" s="1" t="s">
        <v>30</v>
      </c>
      <c r="P16" s="2">
        <f>Tabela2[[#This Row],[Proposta
 Inicial]]-Tabela2[[#This Row],[Proposta
 Negociada]]</f>
        <v>0</v>
      </c>
      <c r="Q16" s="4">
        <f>Tabela2[[#This Row],[Proposta
 Negociada]]/Tabela2[[#This Row],[Proposta
 Inicial]]-1</f>
        <v>0</v>
      </c>
      <c r="S16" t="s">
        <v>65</v>
      </c>
      <c r="T16" s="1">
        <v>450000235</v>
      </c>
      <c r="W16" s="1">
        <v>28281</v>
      </c>
      <c r="X16" s="1" t="s">
        <v>32</v>
      </c>
      <c r="Y16" s="1" t="s">
        <v>32</v>
      </c>
    </row>
    <row r="17" spans="1:25" ht="14.45">
      <c r="A17" s="9">
        <v>46201</v>
      </c>
      <c r="B17" s="9">
        <v>46204</v>
      </c>
      <c r="C17" s="1">
        <f t="shared" si="0"/>
        <v>3</v>
      </c>
      <c r="D17" s="1" t="s">
        <v>25</v>
      </c>
      <c r="E17" s="1" t="s">
        <v>26</v>
      </c>
      <c r="F17" s="3" t="s">
        <v>77</v>
      </c>
      <c r="G17" s="3" t="s">
        <v>28</v>
      </c>
      <c r="H17" s="1" t="s">
        <v>68</v>
      </c>
      <c r="I17" s="1">
        <f>IFERROR(VLOOKUP(H17,SLA_Ref!$A$1:$B$8,2,FALSE),"")</f>
        <v>15</v>
      </c>
      <c r="J17" s="1" t="str">
        <f t="shared" ca="1" si="1"/>
        <v>NO PRAZO</v>
      </c>
      <c r="K17" s="11">
        <f>Tabela2[[#This Row],[SLA
Padrão]]-Tabela2[[#This Row],[SLA Atendimento]]</f>
        <v>12</v>
      </c>
      <c r="L17" s="11"/>
      <c r="M17" s="2">
        <v>76.62</v>
      </c>
      <c r="N17" s="2">
        <v>76.62</v>
      </c>
      <c r="O17" s="1" t="s">
        <v>30</v>
      </c>
      <c r="P17" s="2">
        <f>Tabela2[[#This Row],[Proposta
 Inicial]]-Tabela2[[#This Row],[Proposta
 Negociada]]</f>
        <v>0</v>
      </c>
      <c r="Q17" s="4">
        <f>Tabela2[[#This Row],[Proposta
 Negociada]]/Tabela2[[#This Row],[Proposta
 Inicial]]-1</f>
        <v>0</v>
      </c>
      <c r="S17" t="s">
        <v>78</v>
      </c>
      <c r="T17" s="1">
        <v>450000236</v>
      </c>
      <c r="X17" s="1" t="s">
        <v>35</v>
      </c>
      <c r="Y17" s="1" t="s">
        <v>35</v>
      </c>
    </row>
    <row r="18" spans="1:25" ht="14.45">
      <c r="A18" s="9">
        <v>46192</v>
      </c>
      <c r="B18" s="9">
        <v>46206</v>
      </c>
      <c r="C18" s="1">
        <f t="shared" si="0"/>
        <v>14</v>
      </c>
      <c r="D18" s="1" t="s">
        <v>25</v>
      </c>
      <c r="E18" s="1" t="s">
        <v>26</v>
      </c>
      <c r="F18" s="3" t="s">
        <v>79</v>
      </c>
      <c r="G18" s="3" t="s">
        <v>28</v>
      </c>
      <c r="H18" s="1" t="s">
        <v>68</v>
      </c>
      <c r="I18" s="1">
        <f>IFERROR(VLOOKUP(H18,SLA_Ref!$A$1:$B$8,2,FALSE),"")</f>
        <v>15</v>
      </c>
      <c r="J18" s="1" t="str">
        <f t="shared" ca="1" si="1"/>
        <v>NO PRAZO</v>
      </c>
      <c r="K18" s="11">
        <f>Tabela2[[#This Row],[SLA
Padrão]]-Tabela2[[#This Row],[SLA Atendimento]]</f>
        <v>1</v>
      </c>
      <c r="L18" s="11"/>
      <c r="M18" s="2">
        <v>80</v>
      </c>
      <c r="N18" s="2">
        <v>80</v>
      </c>
      <c r="O18" s="1" t="s">
        <v>30</v>
      </c>
      <c r="P18" s="2">
        <f>Tabela2[[#This Row],[Proposta
 Inicial]]-Tabela2[[#This Row],[Proposta
 Negociada]]</f>
        <v>0</v>
      </c>
      <c r="Q18" s="4">
        <f>Tabela2[[#This Row],[Proposta
 Negociada]]/Tabela2[[#This Row],[Proposta
 Inicial]]-1</f>
        <v>0</v>
      </c>
      <c r="S18" t="s">
        <v>80</v>
      </c>
      <c r="T18" s="1">
        <v>450000238</v>
      </c>
      <c r="X18" s="1" t="s">
        <v>35</v>
      </c>
      <c r="Y18" s="1" t="s">
        <v>35</v>
      </c>
    </row>
    <row r="19" spans="1:25" ht="14.45">
      <c r="A19" s="9">
        <v>46205</v>
      </c>
      <c r="B19" s="9">
        <v>46199</v>
      </c>
      <c r="C19" s="1">
        <f t="shared" si="0"/>
        <v>-6</v>
      </c>
      <c r="D19" s="1" t="s">
        <v>81</v>
      </c>
      <c r="E19" s="1" t="s">
        <v>70</v>
      </c>
      <c r="F19" s="3" t="s">
        <v>82</v>
      </c>
      <c r="G19" s="3" t="s">
        <v>28</v>
      </c>
      <c r="H19" s="1" t="s">
        <v>83</v>
      </c>
      <c r="I19" s="1">
        <f>IFERROR(VLOOKUP(H19,SLA_Ref!$A$1:$B$8,2,FALSE),"")</f>
        <v>5</v>
      </c>
      <c r="J19" s="1" t="str">
        <f t="shared" ca="1" si="1"/>
        <v>NO PRAZO</v>
      </c>
      <c r="K19" s="11">
        <f>Tabela2[[#This Row],[SLA
Padrão]]-Tabela2[[#This Row],[SLA Atendimento]]</f>
        <v>11</v>
      </c>
      <c r="L19" s="11"/>
      <c r="M19" s="2">
        <v>1534.96</v>
      </c>
      <c r="N19" s="2">
        <v>1534.96</v>
      </c>
      <c r="O19" s="1" t="s">
        <v>30</v>
      </c>
      <c r="P19" s="2">
        <f>Tabela2[[#This Row],[Proposta
 Inicial]]-Tabela2[[#This Row],[Proposta
 Negociada]]</f>
        <v>0</v>
      </c>
      <c r="Q19" s="4">
        <f>Tabela2[[#This Row],[Proposta
 Negociada]]/Tabela2[[#This Row],[Proposta
 Inicial]]-1</f>
        <v>0</v>
      </c>
      <c r="S19" t="s">
        <v>84</v>
      </c>
      <c r="T19" s="1">
        <v>450000239</v>
      </c>
      <c r="W19" s="1" t="s">
        <v>85</v>
      </c>
      <c r="X19" s="1" t="s">
        <v>32</v>
      </c>
      <c r="Y19" s="1" t="s">
        <v>35</v>
      </c>
    </row>
    <row r="20" spans="1:25" ht="14.45">
      <c r="A20" s="9">
        <v>46206</v>
      </c>
      <c r="B20" s="9">
        <v>46209</v>
      </c>
      <c r="C20" s="1">
        <f t="shared" si="0"/>
        <v>3</v>
      </c>
      <c r="D20" s="1" t="s">
        <v>36</v>
      </c>
      <c r="E20" s="1" t="s">
        <v>61</v>
      </c>
      <c r="F20" s="3" t="s">
        <v>86</v>
      </c>
      <c r="G20" s="3" t="s">
        <v>28</v>
      </c>
      <c r="H20" s="1" t="s">
        <v>68</v>
      </c>
      <c r="I20" s="1">
        <f>IFERROR(VLOOKUP(H20,SLA_Ref!$A$1:$B$8,2,FALSE),"")</f>
        <v>15</v>
      </c>
      <c r="J20" s="1" t="str">
        <f t="shared" ca="1" si="1"/>
        <v>NO PRAZO</v>
      </c>
      <c r="K20" s="11">
        <f>Tabela2[[#This Row],[SLA
Padrão]]-Tabela2[[#This Row],[SLA Atendimento]]</f>
        <v>12</v>
      </c>
      <c r="L20" s="11"/>
      <c r="M20" s="2">
        <v>3000</v>
      </c>
      <c r="N20" s="2">
        <v>2500</v>
      </c>
      <c r="O20" s="1" t="s">
        <v>30</v>
      </c>
      <c r="P20" s="2">
        <f>Tabela2[[#This Row],[Proposta
 Inicial]]-Tabela2[[#This Row],[Proposta
 Negociada]]</f>
        <v>500</v>
      </c>
      <c r="Q20" s="4">
        <f>Tabela2[[#This Row],[Proposta
 Negociada]]/Tabela2[[#This Row],[Proposta
 Inicial]]-1</f>
        <v>-0.16666666666666663</v>
      </c>
      <c r="R20" s="1" t="s">
        <v>57</v>
      </c>
      <c r="S20" t="s">
        <v>87</v>
      </c>
      <c r="T20" s="1">
        <v>450000240</v>
      </c>
      <c r="X20" s="1" t="s">
        <v>35</v>
      </c>
      <c r="Y20" s="1" t="s">
        <v>32</v>
      </c>
    </row>
    <row r="21" spans="1:25" ht="14.45">
      <c r="A21" s="9">
        <v>46206</v>
      </c>
      <c r="B21" s="9">
        <v>46209</v>
      </c>
      <c r="C21" s="1">
        <f t="shared" si="0"/>
        <v>3</v>
      </c>
      <c r="D21" s="1" t="s">
        <v>25</v>
      </c>
      <c r="E21" s="1" t="s">
        <v>44</v>
      </c>
      <c r="F21" s="3" t="s">
        <v>88</v>
      </c>
      <c r="G21" s="3" t="s">
        <v>28</v>
      </c>
      <c r="H21" s="1" t="s">
        <v>29</v>
      </c>
      <c r="I21" s="1">
        <f>IFERROR(VLOOKUP(H21,SLA_Ref!$A$1:$B$8,2,FALSE),"")</f>
        <v>3</v>
      </c>
      <c r="J21" s="1" t="str">
        <f t="shared" ca="1" si="1"/>
        <v>NO PRAZO</v>
      </c>
      <c r="K21" s="11">
        <f>Tabela2[[#This Row],[SLA
Padrão]]-Tabela2[[#This Row],[SLA Atendimento]]</f>
        <v>0</v>
      </c>
      <c r="L21" s="11"/>
      <c r="M21" s="2">
        <v>145</v>
      </c>
      <c r="N21" s="2">
        <v>130</v>
      </c>
      <c r="O21" s="1" t="s">
        <v>30</v>
      </c>
      <c r="P21" s="2">
        <f>Tabela2[[#This Row],[Proposta
 Inicial]]-Tabela2[[#This Row],[Proposta
 Negociada]]</f>
        <v>15</v>
      </c>
      <c r="Q21" s="4">
        <f>Tabela2[[#This Row],[Proposta
 Negociada]]/Tabela2[[#This Row],[Proposta
 Inicial]]-1</f>
        <v>-0.10344827586206895</v>
      </c>
      <c r="R21" s="1" t="s">
        <v>57</v>
      </c>
      <c r="S21" t="s">
        <v>89</v>
      </c>
      <c r="T21" s="1">
        <v>450000241</v>
      </c>
      <c r="X21" s="1" t="s">
        <v>32</v>
      </c>
      <c r="Y21" s="1" t="s">
        <v>32</v>
      </c>
    </row>
    <row r="22" spans="1:25" ht="14.45">
      <c r="A22" s="9">
        <v>46213</v>
      </c>
      <c r="B22" s="9">
        <v>46210</v>
      </c>
      <c r="C22" s="1">
        <f t="shared" si="0"/>
        <v>-3</v>
      </c>
      <c r="D22" s="1" t="s">
        <v>25</v>
      </c>
      <c r="E22" s="1" t="s">
        <v>70</v>
      </c>
      <c r="F22" s="3" t="s">
        <v>90</v>
      </c>
      <c r="G22" s="3" t="s">
        <v>28</v>
      </c>
      <c r="H22" s="1" t="s">
        <v>91</v>
      </c>
      <c r="I22" s="1">
        <f>IFERROR(VLOOKUP(H22,SLA_Ref!$A$1:$B$8,2,FALSE),"")</f>
        <v>30</v>
      </c>
      <c r="J22" s="1" t="str">
        <f t="shared" ca="1" si="1"/>
        <v>NO PRAZO</v>
      </c>
      <c r="K22" s="11">
        <f>Tabela2[[#This Row],[SLA
Padrão]]-Tabela2[[#This Row],[SLA Atendimento]]</f>
        <v>33</v>
      </c>
      <c r="L22" s="11"/>
      <c r="M22" s="2">
        <v>197.9</v>
      </c>
      <c r="N22" s="2">
        <v>197.9</v>
      </c>
      <c r="O22" s="1" t="s">
        <v>30</v>
      </c>
      <c r="P22" s="2">
        <f>Tabela2[[#This Row],[Proposta
 Inicial]]-Tabela2[[#This Row],[Proposta
 Negociada]]</f>
        <v>0</v>
      </c>
      <c r="Q22" s="4">
        <f>Tabela2[[#This Row],[Proposta
 Negociada]]/Tabela2[[#This Row],[Proposta
 Inicial]]-1</f>
        <v>0</v>
      </c>
      <c r="S22" t="s">
        <v>92</v>
      </c>
      <c r="T22" s="1">
        <v>450000243</v>
      </c>
      <c r="X22" s="1" t="s">
        <v>32</v>
      </c>
      <c r="Y22" s="1" t="s">
        <v>32</v>
      </c>
    </row>
    <row r="23" spans="1:25" ht="14.45">
      <c r="A23" s="9">
        <v>46209</v>
      </c>
      <c r="B23" s="9">
        <v>46206</v>
      </c>
      <c r="C23" s="1">
        <f t="shared" si="0"/>
        <v>-3</v>
      </c>
      <c r="D23" s="1" t="s">
        <v>25</v>
      </c>
      <c r="E23" s="1" t="s">
        <v>26</v>
      </c>
      <c r="F23" s="3" t="s">
        <v>27</v>
      </c>
      <c r="G23" s="3" t="s">
        <v>28</v>
      </c>
      <c r="H23" s="1" t="s">
        <v>91</v>
      </c>
      <c r="I23" s="1">
        <f>IFERROR(VLOOKUP(H23,SLA_Ref!$A$1:$B$8,2,FALSE),"")</f>
        <v>30</v>
      </c>
      <c r="J23" s="1" t="str">
        <f t="shared" ca="1" si="1"/>
        <v>NO PRAZO</v>
      </c>
      <c r="K23" s="11">
        <f>Tabela2[[#This Row],[SLA
Padrão]]-Tabela2[[#This Row],[SLA Atendimento]]</f>
        <v>33</v>
      </c>
      <c r="L23" s="11"/>
      <c r="M23" s="2">
        <v>448.01</v>
      </c>
      <c r="N23" s="2">
        <v>448.01</v>
      </c>
      <c r="O23" s="1" t="s">
        <v>30</v>
      </c>
      <c r="P23" s="2">
        <f>Tabela2[[#This Row],[Proposta
 Inicial]]-Tabela2[[#This Row],[Proposta
 Negociada]]</f>
        <v>0</v>
      </c>
      <c r="Q23" s="4">
        <f>Tabela2[[#This Row],[Proposta
 Negociada]]/Tabela2[[#This Row],[Proposta
 Inicial]]-1</f>
        <v>0</v>
      </c>
      <c r="S23" t="s">
        <v>93</v>
      </c>
      <c r="T23" s="1">
        <v>450000244</v>
      </c>
      <c r="X23" s="1" t="s">
        <v>32</v>
      </c>
      <c r="Y23" s="1" t="s">
        <v>32</v>
      </c>
    </row>
    <row r="24" spans="1:25" ht="14.45">
      <c r="A24" s="9">
        <v>46209</v>
      </c>
      <c r="B24" s="9">
        <v>46210</v>
      </c>
      <c r="C24" s="1">
        <f t="shared" si="0"/>
        <v>1</v>
      </c>
      <c r="D24" s="1" t="s">
        <v>36</v>
      </c>
      <c r="E24" s="1" t="s">
        <v>94</v>
      </c>
      <c r="F24" s="3" t="s">
        <v>95</v>
      </c>
      <c r="G24" s="3" t="s">
        <v>28</v>
      </c>
      <c r="H24" s="1" t="s">
        <v>46</v>
      </c>
      <c r="I24" s="1">
        <f>IFERROR(VLOOKUP(H24,SLA_Ref!$A$1:$B$8,2,FALSE),"")</f>
        <v>8</v>
      </c>
      <c r="J24" s="1" t="str">
        <f t="shared" ca="1" si="1"/>
        <v>NO PRAZO</v>
      </c>
      <c r="K24" s="11">
        <f>Tabela2[[#This Row],[SLA
Padrão]]-Tabela2[[#This Row],[SLA Atendimento]]</f>
        <v>7</v>
      </c>
      <c r="L24" s="11"/>
      <c r="M24" s="2">
        <v>3202.8</v>
      </c>
      <c r="N24" s="2">
        <v>3042.72</v>
      </c>
      <c r="O24" s="1" t="s">
        <v>30</v>
      </c>
      <c r="P24" s="2">
        <f>Tabela2[[#This Row],[Proposta
 Inicial]]-Tabela2[[#This Row],[Proposta
 Negociada]]</f>
        <v>160.08000000000038</v>
      </c>
      <c r="Q24" s="4">
        <f>Tabela2[[#This Row],[Proposta
 Negociada]]/Tabela2[[#This Row],[Proposta
 Inicial]]-1</f>
        <v>-4.9981266391907253E-2</v>
      </c>
      <c r="R24" s="1" t="s">
        <v>57</v>
      </c>
      <c r="S24" t="s">
        <v>96</v>
      </c>
      <c r="T24" s="1">
        <v>450000245</v>
      </c>
      <c r="W24" s="1">
        <v>735221</v>
      </c>
      <c r="X24" s="1" t="s">
        <v>32</v>
      </c>
      <c r="Y24" s="1" t="s">
        <v>35</v>
      </c>
    </row>
    <row r="25" spans="1:25" ht="14.45">
      <c r="A25" s="9">
        <v>46210</v>
      </c>
      <c r="B25" s="9">
        <v>46210</v>
      </c>
      <c r="C25" s="1">
        <f t="shared" si="0"/>
        <v>0</v>
      </c>
      <c r="D25" s="1" t="s">
        <v>36</v>
      </c>
      <c r="E25" s="1" t="s">
        <v>97</v>
      </c>
      <c r="F25" s="3" t="s">
        <v>98</v>
      </c>
      <c r="G25" s="3" t="s">
        <v>28</v>
      </c>
      <c r="H25" s="1" t="s">
        <v>46</v>
      </c>
      <c r="I25" s="1">
        <f>IFERROR(VLOOKUP(H25,SLA_Ref!$A$1:$B$8,2,FALSE),"")</f>
        <v>8</v>
      </c>
      <c r="J25" s="1" t="str">
        <f t="shared" ca="1" si="1"/>
        <v>NO PRAZO</v>
      </c>
      <c r="K25" s="11">
        <f>Tabela2[[#This Row],[SLA
Padrão]]-Tabela2[[#This Row],[SLA Atendimento]]</f>
        <v>8</v>
      </c>
      <c r="L25" s="11"/>
      <c r="M25" s="2">
        <v>400</v>
      </c>
      <c r="N25" s="2">
        <v>400</v>
      </c>
      <c r="O25" s="1" t="s">
        <v>30</v>
      </c>
      <c r="P25" s="2">
        <f>Tabela2[[#This Row],[Proposta
 Inicial]]-Tabela2[[#This Row],[Proposta
 Negociada]]</f>
        <v>0</v>
      </c>
      <c r="Q25" s="4">
        <f>Tabela2[[#This Row],[Proposta
 Negociada]]/Tabela2[[#This Row],[Proposta
 Inicial]]-1</f>
        <v>0</v>
      </c>
      <c r="S25" t="s">
        <v>99</v>
      </c>
      <c r="T25" s="1">
        <v>450000246</v>
      </c>
      <c r="W25" s="1">
        <v>1178</v>
      </c>
      <c r="X25" s="1" t="s">
        <v>32</v>
      </c>
      <c r="Y25" s="1" t="s">
        <v>32</v>
      </c>
    </row>
    <row r="26" spans="1:25" ht="14.45">
      <c r="A26" s="9">
        <v>46205</v>
      </c>
      <c r="B26" s="9">
        <v>46211</v>
      </c>
      <c r="C26" s="1">
        <f t="shared" si="0"/>
        <v>6</v>
      </c>
      <c r="D26" s="1" t="s">
        <v>36</v>
      </c>
      <c r="E26" s="1" t="s">
        <v>70</v>
      </c>
      <c r="F26" s="3" t="s">
        <v>100</v>
      </c>
      <c r="G26" s="3" t="s">
        <v>28</v>
      </c>
      <c r="H26" s="1" t="s">
        <v>46</v>
      </c>
      <c r="I26" s="1">
        <f>IFERROR(VLOOKUP(H26,SLA_Ref!$A$1:$B$8,2,FALSE),"")</f>
        <v>8</v>
      </c>
      <c r="J26" s="1" t="str">
        <f t="shared" ca="1" si="1"/>
        <v>NO PRAZO</v>
      </c>
      <c r="K26" s="11">
        <f>Tabela2[[#This Row],[SLA
Padrão]]-Tabela2[[#This Row],[SLA Atendimento]]</f>
        <v>2</v>
      </c>
      <c r="L26" s="11"/>
      <c r="M26" s="2">
        <v>494.1</v>
      </c>
      <c r="N26" s="2">
        <v>494.1</v>
      </c>
      <c r="O26" s="1" t="s">
        <v>30</v>
      </c>
      <c r="P26" s="2">
        <f>Tabela2[[#This Row],[Proposta
 Inicial]]-Tabela2[[#This Row],[Proposta
 Negociada]]</f>
        <v>0</v>
      </c>
      <c r="Q26" s="4">
        <f>Tabela2[[#This Row],[Proposta
 Negociada]]/Tabela2[[#This Row],[Proposta
 Inicial]]-1</f>
        <v>0</v>
      </c>
      <c r="S26" t="s">
        <v>101</v>
      </c>
      <c r="T26" s="1">
        <v>450000248</v>
      </c>
      <c r="W26" s="1">
        <v>214453</v>
      </c>
      <c r="X26" s="1" t="s">
        <v>32</v>
      </c>
      <c r="Y26" s="1" t="s">
        <v>32</v>
      </c>
    </row>
    <row r="27" spans="1:25" ht="14.45">
      <c r="A27" s="9">
        <v>46188</v>
      </c>
      <c r="B27" s="9">
        <v>46206</v>
      </c>
      <c r="C27" s="1">
        <f t="shared" si="0"/>
        <v>18</v>
      </c>
      <c r="D27" s="1" t="s">
        <v>25</v>
      </c>
      <c r="E27" s="1" t="s">
        <v>26</v>
      </c>
      <c r="F27" s="3" t="s">
        <v>102</v>
      </c>
      <c r="G27" s="3" t="s">
        <v>28</v>
      </c>
      <c r="H27" s="1" t="s">
        <v>46</v>
      </c>
      <c r="I27" s="1">
        <f>IFERROR(VLOOKUP(H27,SLA_Ref!$A$1:$B$8,2,FALSE),"")</f>
        <v>8</v>
      </c>
      <c r="J27" s="1" t="str">
        <f t="shared" ca="1" si="1"/>
        <v>ATRASADA</v>
      </c>
      <c r="K27" s="11">
        <f>Tabela2[[#This Row],[SLA
Padrão]]-Tabela2[[#This Row],[SLA Atendimento]]</f>
        <v>-10</v>
      </c>
      <c r="L27" s="11"/>
      <c r="M27" s="2">
        <v>1450</v>
      </c>
      <c r="N27" s="2">
        <v>1000</v>
      </c>
      <c r="O27" s="1" t="s">
        <v>30</v>
      </c>
      <c r="P27" s="2">
        <f>Tabela2[[#This Row],[Proposta
 Inicial]]-Tabela2[[#This Row],[Proposta
 Negociada]]</f>
        <v>450</v>
      </c>
      <c r="Q27" s="4">
        <f>Tabela2[[#This Row],[Proposta
 Negociada]]/Tabela2[[#This Row],[Proposta
 Inicial]]-1</f>
        <v>-0.31034482758620685</v>
      </c>
      <c r="R27" s="1" t="s">
        <v>57</v>
      </c>
      <c r="S27" t="s">
        <v>103</v>
      </c>
      <c r="T27" s="1">
        <v>450000250</v>
      </c>
      <c r="X27" s="1" t="s">
        <v>35</v>
      </c>
      <c r="Y27" s="1" t="s">
        <v>32</v>
      </c>
    </row>
    <row r="28" spans="1:25" ht="14.45">
      <c r="A28" s="9">
        <v>46204</v>
      </c>
      <c r="B28" s="9">
        <v>46206</v>
      </c>
      <c r="C28" s="1">
        <f t="shared" si="0"/>
        <v>2</v>
      </c>
      <c r="D28" s="1" t="s">
        <v>36</v>
      </c>
      <c r="E28" s="1" t="s">
        <v>55</v>
      </c>
      <c r="F28" s="3" t="s">
        <v>104</v>
      </c>
      <c r="G28" s="3" t="s">
        <v>28</v>
      </c>
      <c r="H28" s="1" t="s">
        <v>46</v>
      </c>
      <c r="I28" s="1">
        <f>IFERROR(VLOOKUP(H28,SLA_Ref!$A$1:$B$8,2,FALSE),"")</f>
        <v>8</v>
      </c>
      <c r="J28" s="1" t="str">
        <f t="shared" ca="1" si="1"/>
        <v>NO PRAZO</v>
      </c>
      <c r="K28" s="11">
        <f>Tabela2[[#This Row],[SLA
Padrão]]-Tabela2[[#This Row],[SLA Atendimento]]</f>
        <v>6</v>
      </c>
      <c r="L28" s="11"/>
      <c r="M28" s="2">
        <v>692</v>
      </c>
      <c r="N28" s="2">
        <v>692</v>
      </c>
      <c r="O28" s="1" t="s">
        <v>30</v>
      </c>
      <c r="P28" s="2">
        <f>Tabela2[[#This Row],[Proposta
 Inicial]]-Tabela2[[#This Row],[Proposta
 Negociada]]</f>
        <v>0</v>
      </c>
      <c r="Q28" s="4">
        <f>Tabela2[[#This Row],[Proposta
 Negociada]]/Tabela2[[#This Row],[Proposta
 Inicial]]-1</f>
        <v>0</v>
      </c>
      <c r="S28" t="s">
        <v>105</v>
      </c>
      <c r="T28" s="1">
        <v>450000251</v>
      </c>
      <c r="W28" s="14">
        <v>1408253</v>
      </c>
      <c r="X28" s="1" t="s">
        <v>32</v>
      </c>
      <c r="Y28" s="1" t="s">
        <v>35</v>
      </c>
    </row>
    <row r="29" spans="1:25" ht="14.45">
      <c r="A29" s="9">
        <v>46202</v>
      </c>
      <c r="B29" s="9">
        <v>46205</v>
      </c>
      <c r="C29" s="1">
        <f t="shared" si="0"/>
        <v>3</v>
      </c>
      <c r="D29" s="1" t="s">
        <v>36</v>
      </c>
      <c r="E29" s="1" t="s">
        <v>44</v>
      </c>
      <c r="F29" s="3" t="s">
        <v>106</v>
      </c>
      <c r="G29" s="3" t="s">
        <v>28</v>
      </c>
      <c r="H29" s="1" t="s">
        <v>46</v>
      </c>
      <c r="I29" s="1">
        <f>IFERROR(VLOOKUP(H29,SLA_Ref!$A$1:$B$8,2,FALSE),"")</f>
        <v>8</v>
      </c>
      <c r="J29" s="1" t="str">
        <f t="shared" ca="1" si="1"/>
        <v>NO PRAZO</v>
      </c>
      <c r="K29" s="11">
        <f>Tabela2[[#This Row],[SLA
Padrão]]-Tabela2[[#This Row],[SLA Atendimento]]</f>
        <v>5</v>
      </c>
      <c r="L29" s="11"/>
      <c r="M29" s="2">
        <v>170.3</v>
      </c>
      <c r="N29" s="2">
        <v>170.3</v>
      </c>
      <c r="O29" s="1" t="s">
        <v>30</v>
      </c>
      <c r="P29" s="2">
        <f>Tabela2[[#This Row],[Proposta
 Inicial]]-Tabela2[[#This Row],[Proposta
 Negociada]]</f>
        <v>0</v>
      </c>
      <c r="Q29" s="4">
        <f>Tabela2[[#This Row],[Proposta
 Negociada]]/Tabela2[[#This Row],[Proposta
 Inicial]]-1</f>
        <v>0</v>
      </c>
      <c r="S29" t="s">
        <v>107</v>
      </c>
      <c r="T29" s="1">
        <v>450000252</v>
      </c>
      <c r="W29" s="1">
        <v>3487</v>
      </c>
      <c r="X29" s="1" t="s">
        <v>32</v>
      </c>
      <c r="Y29" s="1" t="s">
        <v>35</v>
      </c>
    </row>
    <row r="30" spans="1:25" ht="14.45">
      <c r="A30" s="9">
        <v>46202</v>
      </c>
      <c r="B30" s="9">
        <v>46205</v>
      </c>
      <c r="C30" s="1">
        <f t="shared" si="0"/>
        <v>3</v>
      </c>
      <c r="D30" s="1" t="s">
        <v>36</v>
      </c>
      <c r="E30" s="1" t="s">
        <v>44</v>
      </c>
      <c r="F30" s="3" t="s">
        <v>108</v>
      </c>
      <c r="G30" s="3" t="s">
        <v>28</v>
      </c>
      <c r="H30" s="1" t="s">
        <v>46</v>
      </c>
      <c r="I30" s="1">
        <f>IFERROR(VLOOKUP(H30,SLA_Ref!$A$1:$B$8,2,FALSE),"")</f>
        <v>8</v>
      </c>
      <c r="J30" s="1" t="str">
        <f t="shared" ca="1" si="1"/>
        <v>NO PRAZO</v>
      </c>
      <c r="K30" s="11">
        <f>Tabela2[[#This Row],[SLA
Padrão]]-Tabela2[[#This Row],[SLA Atendimento]]</f>
        <v>5</v>
      </c>
      <c r="L30" s="11"/>
      <c r="M30" s="2">
        <v>58.38</v>
      </c>
      <c r="N30" s="2">
        <v>58.38</v>
      </c>
      <c r="O30" s="1" t="s">
        <v>30</v>
      </c>
      <c r="P30" s="2">
        <f>Tabela2[[#This Row],[Proposta
 Inicial]]-Tabela2[[#This Row],[Proposta
 Negociada]]</f>
        <v>0</v>
      </c>
      <c r="Q30" s="4">
        <f>Tabela2[[#This Row],[Proposta
 Negociada]]/Tabela2[[#This Row],[Proposta
 Inicial]]-1</f>
        <v>0</v>
      </c>
      <c r="S30" t="s">
        <v>109</v>
      </c>
      <c r="T30" s="1">
        <v>450000253</v>
      </c>
      <c r="W30" s="1">
        <v>18005</v>
      </c>
      <c r="X30" s="1" t="s">
        <v>32</v>
      </c>
      <c r="Y30" s="1" t="s">
        <v>35</v>
      </c>
    </row>
    <row r="31" spans="1:25" ht="14.45">
      <c r="A31" s="9">
        <v>46205</v>
      </c>
      <c r="B31" s="9">
        <v>46211</v>
      </c>
      <c r="C31" s="1">
        <f t="shared" si="0"/>
        <v>6</v>
      </c>
      <c r="D31" s="1" t="s">
        <v>36</v>
      </c>
      <c r="E31" s="1" t="s">
        <v>70</v>
      </c>
      <c r="F31" s="3" t="s">
        <v>110</v>
      </c>
      <c r="G31" s="3" t="s">
        <v>28</v>
      </c>
      <c r="H31" s="1" t="s">
        <v>46</v>
      </c>
      <c r="I31" s="1">
        <f>IFERROR(VLOOKUP(H31,SLA_Ref!$A$1:$B$8,2,FALSE),"")</f>
        <v>8</v>
      </c>
      <c r="J31" s="1" t="str">
        <f t="shared" ca="1" si="1"/>
        <v>NO PRAZO</v>
      </c>
      <c r="K31" s="11">
        <f>Tabela2[[#This Row],[SLA
Padrão]]-Tabela2[[#This Row],[SLA Atendimento]]</f>
        <v>2</v>
      </c>
      <c r="L31" s="11"/>
      <c r="M31" s="2">
        <v>30</v>
      </c>
      <c r="N31" s="2">
        <v>30</v>
      </c>
      <c r="O31" s="1" t="s">
        <v>30</v>
      </c>
      <c r="P31" s="2">
        <f>Tabela2[[#This Row],[Proposta
 Inicial]]-Tabela2[[#This Row],[Proposta
 Negociada]]</f>
        <v>0</v>
      </c>
      <c r="Q31" s="4">
        <f>Tabela2[[#This Row],[Proposta
 Negociada]]/Tabela2[[#This Row],[Proposta
 Inicial]]-1</f>
        <v>0</v>
      </c>
      <c r="S31" t="s">
        <v>111</v>
      </c>
      <c r="T31" s="1">
        <v>450000254</v>
      </c>
      <c r="W31" s="14">
        <v>323297</v>
      </c>
      <c r="X31" s="1" t="s">
        <v>32</v>
      </c>
      <c r="Y31" s="1" t="s">
        <v>35</v>
      </c>
    </row>
    <row r="32" spans="1:25" ht="14.45">
      <c r="A32" s="9">
        <v>46206</v>
      </c>
      <c r="B32" s="9">
        <v>46216</v>
      </c>
      <c r="C32" s="1">
        <f t="shared" si="0"/>
        <v>10</v>
      </c>
      <c r="D32" s="1" t="s">
        <v>36</v>
      </c>
      <c r="E32" s="1" t="s">
        <v>70</v>
      </c>
      <c r="F32" s="15" t="s">
        <v>112</v>
      </c>
      <c r="G32" s="3" t="s">
        <v>28</v>
      </c>
      <c r="H32" s="1" t="s">
        <v>46</v>
      </c>
      <c r="I32" s="1">
        <f>IFERROR(VLOOKUP(H32,SLA_Ref!$A$1:$B$8,2,FALSE),"")</f>
        <v>8</v>
      </c>
      <c r="J32" s="1" t="str">
        <f t="shared" ca="1" si="1"/>
        <v>ATRASADA</v>
      </c>
      <c r="K32" s="11">
        <f>Tabela2[[#This Row],[SLA
Padrão]]-Tabela2[[#This Row],[SLA Atendimento]]</f>
        <v>-2</v>
      </c>
      <c r="L32" s="11"/>
      <c r="M32" s="2">
        <f>31541.559+2000</f>
        <v>33541.559000000001</v>
      </c>
      <c r="N32" s="2">
        <v>30039.58</v>
      </c>
      <c r="O32" s="1" t="s">
        <v>30</v>
      </c>
      <c r="P32" s="2">
        <f>Tabela2[[#This Row],[Proposta
 Inicial]]-Tabela2[[#This Row],[Proposta
 Negociada]]</f>
        <v>3501.9789999999994</v>
      </c>
      <c r="Q32" s="4">
        <f>Tabela2[[#This Row],[Proposta
 Negociada]]/Tabela2[[#This Row],[Proposta
 Inicial]]-1</f>
        <v>-0.10440716246969917</v>
      </c>
      <c r="R32" s="1" t="s">
        <v>57</v>
      </c>
      <c r="S32" t="s">
        <v>113</v>
      </c>
      <c r="T32" s="1">
        <v>450000255</v>
      </c>
      <c r="X32" s="1" t="s">
        <v>35</v>
      </c>
      <c r="Y32" s="1" t="s">
        <v>35</v>
      </c>
    </row>
    <row r="33" spans="1:25" ht="14.45">
      <c r="A33" s="9">
        <v>46211</v>
      </c>
      <c r="B33" s="9">
        <v>46212</v>
      </c>
      <c r="C33" s="1">
        <f t="shared" si="0"/>
        <v>1</v>
      </c>
      <c r="D33" s="1" t="s">
        <v>36</v>
      </c>
      <c r="E33" s="1" t="s">
        <v>73</v>
      </c>
      <c r="F33" s="3" t="s">
        <v>114</v>
      </c>
      <c r="G33" s="3" t="s">
        <v>28</v>
      </c>
      <c r="H33" s="1" t="s">
        <v>46</v>
      </c>
      <c r="I33" s="1">
        <f>IFERROR(VLOOKUP(H33,SLA_Ref!$A$1:$B$8,2,FALSE),"")</f>
        <v>8</v>
      </c>
      <c r="J33" s="1" t="str">
        <f t="shared" ca="1" si="1"/>
        <v>NO PRAZO</v>
      </c>
      <c r="K33" s="11">
        <f>Tabela2[[#This Row],[SLA
Padrão]]-Tabela2[[#This Row],[SLA Atendimento]]</f>
        <v>7</v>
      </c>
      <c r="L33" s="11"/>
      <c r="M33" s="2">
        <v>499</v>
      </c>
      <c r="N33" s="2">
        <v>499</v>
      </c>
      <c r="O33" s="1" t="s">
        <v>30</v>
      </c>
      <c r="P33" s="2">
        <f>Tabela2[[#This Row],[Proposta
 Inicial]]-Tabela2[[#This Row],[Proposta
 Negociada]]</f>
        <v>0</v>
      </c>
      <c r="Q33" s="4">
        <f>Tabela2[[#This Row],[Proposta
 Negociada]]/Tabela2[[#This Row],[Proposta
 Inicial]]-1</f>
        <v>0</v>
      </c>
      <c r="S33" t="s">
        <v>115</v>
      </c>
      <c r="T33" s="1">
        <v>450000256</v>
      </c>
      <c r="W33" s="14">
        <v>66922</v>
      </c>
      <c r="X33" s="1" t="s">
        <v>32</v>
      </c>
      <c r="Y33" s="1" t="s">
        <v>35</v>
      </c>
    </row>
    <row r="34" spans="1:25" ht="14.45">
      <c r="A34" s="9">
        <v>46210</v>
      </c>
      <c r="B34" s="9">
        <v>46211</v>
      </c>
      <c r="C34" s="1">
        <f t="shared" si="0"/>
        <v>1</v>
      </c>
      <c r="D34" s="1" t="s">
        <v>36</v>
      </c>
      <c r="E34" s="1" t="s">
        <v>73</v>
      </c>
      <c r="F34" s="3" t="s">
        <v>116</v>
      </c>
      <c r="G34" s="3" t="s">
        <v>28</v>
      </c>
      <c r="H34" s="1" t="s">
        <v>29</v>
      </c>
      <c r="I34" s="1">
        <f>IFERROR(VLOOKUP(H34,SLA_Ref!$A$1:$B$8,2,FALSE),"")</f>
        <v>3</v>
      </c>
      <c r="J34" s="1" t="str">
        <f t="shared" ca="1" si="1"/>
        <v>NO PRAZO</v>
      </c>
      <c r="K34" s="11">
        <f>Tabela2[[#This Row],[SLA
Padrão]]-Tabela2[[#This Row],[SLA Atendimento]]</f>
        <v>2</v>
      </c>
      <c r="L34" s="11"/>
      <c r="M34" s="2">
        <f>100*49</f>
        <v>4900</v>
      </c>
      <c r="N34" s="2">
        <v>4000</v>
      </c>
      <c r="O34" s="1" t="s">
        <v>30</v>
      </c>
      <c r="P34" s="2">
        <f>Tabela2[[#This Row],[Proposta
 Inicial]]-Tabela2[[#This Row],[Proposta
 Negociada]]</f>
        <v>900</v>
      </c>
      <c r="Q34" s="4">
        <f>Tabela2[[#This Row],[Proposta
 Negociada]]/Tabela2[[#This Row],[Proposta
 Inicial]]-1</f>
        <v>-0.18367346938775508</v>
      </c>
      <c r="R34" s="1" t="s">
        <v>57</v>
      </c>
      <c r="S34" t="s">
        <v>117</v>
      </c>
      <c r="T34" s="1">
        <v>450000257</v>
      </c>
      <c r="W34" s="1">
        <v>32</v>
      </c>
      <c r="X34" s="1" t="s">
        <v>32</v>
      </c>
      <c r="Y34" s="1" t="s">
        <v>35</v>
      </c>
    </row>
    <row r="35" spans="1:25" ht="14.45">
      <c r="A35" s="9">
        <v>46210</v>
      </c>
      <c r="B35" s="9">
        <v>46213</v>
      </c>
      <c r="C35" s="1">
        <f t="shared" si="0"/>
        <v>3</v>
      </c>
      <c r="D35" s="1" t="s">
        <v>36</v>
      </c>
      <c r="E35" s="1" t="s">
        <v>52</v>
      </c>
      <c r="F35" s="3" t="s">
        <v>118</v>
      </c>
      <c r="G35" s="3" t="s">
        <v>39</v>
      </c>
      <c r="H35" s="1" t="s">
        <v>68</v>
      </c>
      <c r="I35" s="1">
        <f>IFERROR(VLOOKUP(H35,SLA_Ref!$A$1:$B$8,2,FALSE),"")</f>
        <v>15</v>
      </c>
      <c r="J35" s="1" t="str">
        <f t="shared" ca="1" si="1"/>
        <v>NO PRAZO</v>
      </c>
      <c r="K35" s="11">
        <f>Tabela2[[#This Row],[SLA
Padrão]]-Tabela2[[#This Row],[SLA Atendimento]]</f>
        <v>12</v>
      </c>
      <c r="L35" s="11"/>
      <c r="M35" s="2">
        <v>16020</v>
      </c>
      <c r="N35" s="13">
        <v>9924.9599999999991</v>
      </c>
      <c r="O35" s="1" t="s">
        <v>30</v>
      </c>
      <c r="P35" s="2">
        <f>Tabela2[[#This Row],[Proposta
 Inicial]]-Tabela2[[#This Row],[Proposta
 Negociada]]</f>
        <v>6095.0400000000009</v>
      </c>
      <c r="Q35" s="4">
        <f>Tabela2[[#This Row],[Proposta
 Negociada]]/Tabela2[[#This Row],[Proposta
 Inicial]]-1</f>
        <v>-0.38046441947565546</v>
      </c>
      <c r="R35" s="1" t="s">
        <v>57</v>
      </c>
      <c r="S35" t="s">
        <v>119</v>
      </c>
      <c r="T35" s="1">
        <v>450000258</v>
      </c>
      <c r="X35" s="1" t="s">
        <v>35</v>
      </c>
      <c r="Y35" s="1" t="s">
        <v>35</v>
      </c>
    </row>
    <row r="36" spans="1:25" ht="14.45">
      <c r="A36" s="9">
        <v>46199</v>
      </c>
      <c r="B36" s="9">
        <v>46209</v>
      </c>
      <c r="C36" s="1">
        <f t="shared" si="0"/>
        <v>10</v>
      </c>
      <c r="D36" s="1" t="s">
        <v>25</v>
      </c>
      <c r="E36" s="1" t="s">
        <v>120</v>
      </c>
      <c r="F36" s="3" t="s">
        <v>121</v>
      </c>
      <c r="G36" s="3" t="s">
        <v>28</v>
      </c>
      <c r="H36" s="1" t="s">
        <v>46</v>
      </c>
      <c r="I36" s="1">
        <f>IFERROR(VLOOKUP(H36,SLA_Ref!$A$1:$B$8,2,FALSE),"")</f>
        <v>8</v>
      </c>
      <c r="J36" s="1" t="str">
        <f t="shared" ca="1" si="1"/>
        <v>ATRASADA</v>
      </c>
      <c r="K36" s="11">
        <f>Tabela2[[#This Row],[SLA
Padrão]]-Tabela2[[#This Row],[SLA Atendimento]]</f>
        <v>-2</v>
      </c>
      <c r="L36" s="11"/>
      <c r="M36" s="2">
        <v>2397.46</v>
      </c>
      <c r="N36" s="2">
        <v>2397.46</v>
      </c>
      <c r="O36" s="1" t="s">
        <v>30</v>
      </c>
      <c r="P36" s="2">
        <f>Tabela2[[#This Row],[Proposta
 Inicial]]-Tabela2[[#This Row],[Proposta
 Negociada]]</f>
        <v>0</v>
      </c>
      <c r="Q36" s="4">
        <f>Tabela2[[#This Row],[Proposta
 Negociada]]/Tabela2[[#This Row],[Proposta
 Inicial]]-1</f>
        <v>0</v>
      </c>
      <c r="S36" t="s">
        <v>122</v>
      </c>
      <c r="T36" s="1">
        <v>450000259</v>
      </c>
      <c r="X36" s="1" t="s">
        <v>35</v>
      </c>
      <c r="Y36" s="1" t="s">
        <v>32</v>
      </c>
    </row>
    <row r="37" spans="1:25" ht="14.45">
      <c r="A37" s="9">
        <v>46212</v>
      </c>
      <c r="B37" s="9">
        <v>46212</v>
      </c>
      <c r="C37" s="1">
        <f t="shared" si="0"/>
        <v>0</v>
      </c>
      <c r="D37" s="1" t="s">
        <v>25</v>
      </c>
      <c r="E37" s="1" t="s">
        <v>26</v>
      </c>
      <c r="F37" s="3" t="s">
        <v>123</v>
      </c>
      <c r="G37" s="3" t="s">
        <v>28</v>
      </c>
      <c r="H37" s="1" t="s">
        <v>46</v>
      </c>
      <c r="I37" s="1">
        <f>IFERROR(VLOOKUP(H37,SLA_Ref!$A$1:$B$8,2,FALSE),"")</f>
        <v>8</v>
      </c>
      <c r="J37" s="1" t="str">
        <f t="shared" ca="1" si="1"/>
        <v>NO PRAZO</v>
      </c>
      <c r="K37" s="11">
        <f>Tabela2[[#This Row],[SLA
Padrão]]-Tabela2[[#This Row],[SLA Atendimento]]</f>
        <v>8</v>
      </c>
      <c r="L37" s="11"/>
      <c r="M37" s="2">
        <v>127</v>
      </c>
      <c r="N37" s="2">
        <v>127</v>
      </c>
      <c r="O37" s="1" t="s">
        <v>30</v>
      </c>
      <c r="P37" s="2">
        <f>Tabela2[[#This Row],[Proposta
 Inicial]]-Tabela2[[#This Row],[Proposta
 Negociada]]</f>
        <v>0</v>
      </c>
      <c r="Q37" s="4">
        <f>Tabela2[[#This Row],[Proposta
 Negociada]]/Tabela2[[#This Row],[Proposta
 Inicial]]-1</f>
        <v>0</v>
      </c>
      <c r="S37" t="s">
        <v>124</v>
      </c>
      <c r="T37" s="1">
        <v>450000260</v>
      </c>
      <c r="X37" s="1" t="s">
        <v>32</v>
      </c>
      <c r="Y37" s="1" t="s">
        <v>35</v>
      </c>
    </row>
    <row r="38" spans="1:25" ht="14.45">
      <c r="A38" s="9">
        <v>46212</v>
      </c>
      <c r="B38" s="9">
        <v>46213</v>
      </c>
      <c r="C38" s="1">
        <f t="shared" si="0"/>
        <v>1</v>
      </c>
      <c r="D38" s="1" t="s">
        <v>36</v>
      </c>
      <c r="E38" s="1" t="s">
        <v>70</v>
      </c>
      <c r="F38" s="3" t="s">
        <v>125</v>
      </c>
      <c r="G38" s="3" t="s">
        <v>28</v>
      </c>
      <c r="H38" s="1" t="s">
        <v>46</v>
      </c>
      <c r="I38" s="1">
        <f>IFERROR(VLOOKUP(H38,SLA_Ref!$A$1:$B$8,2,FALSE),"")</f>
        <v>8</v>
      </c>
      <c r="J38" s="1" t="str">
        <f t="shared" ca="1" si="1"/>
        <v>NO PRAZO</v>
      </c>
      <c r="K38" s="11">
        <f>Tabela2[[#This Row],[SLA
Padrão]]-Tabela2[[#This Row],[SLA Atendimento]]</f>
        <v>7</v>
      </c>
      <c r="L38" s="11"/>
      <c r="M38" s="2">
        <v>899</v>
      </c>
      <c r="N38" s="2">
        <v>399</v>
      </c>
      <c r="O38" s="1" t="s">
        <v>30</v>
      </c>
      <c r="P38" s="2">
        <f>Tabela2[[#This Row],[Proposta
 Inicial]]-Tabela2[[#This Row],[Proposta
 Negociada]]</f>
        <v>500</v>
      </c>
      <c r="Q38" s="4">
        <f>Tabela2[[#This Row],[Proposta
 Negociada]]/Tabela2[[#This Row],[Proposta
 Inicial]]-1</f>
        <v>-0.55617352614015569</v>
      </c>
      <c r="R38" s="1" t="s">
        <v>57</v>
      </c>
      <c r="S38" t="s">
        <v>126</v>
      </c>
      <c r="T38" s="1">
        <v>450000261</v>
      </c>
      <c r="W38" s="14">
        <v>76868</v>
      </c>
      <c r="X38" s="1" t="s">
        <v>127</v>
      </c>
      <c r="Y38" s="1" t="s">
        <v>35</v>
      </c>
    </row>
    <row r="39" spans="1:25" ht="14.45">
      <c r="A39" s="9">
        <v>46212</v>
      </c>
      <c r="B39" s="9">
        <v>46214</v>
      </c>
      <c r="C39" s="1">
        <f t="shared" si="0"/>
        <v>2</v>
      </c>
      <c r="D39" s="1" t="s">
        <v>36</v>
      </c>
      <c r="E39" s="1" t="s">
        <v>55</v>
      </c>
      <c r="F39" s="3" t="s">
        <v>128</v>
      </c>
      <c r="G39" s="3" t="s">
        <v>28</v>
      </c>
      <c r="H39" s="1" t="s">
        <v>83</v>
      </c>
      <c r="I39" s="1">
        <f>IFERROR(VLOOKUP(H39,SLA_Ref!$A$1:$B$8,2,FALSE),"")</f>
        <v>5</v>
      </c>
      <c r="J39" s="1" t="str">
        <f t="shared" ca="1" si="1"/>
        <v>NO PRAZO</v>
      </c>
      <c r="K39" s="11">
        <f>Tabela2[[#This Row],[SLA
Padrão]]-Tabela2[[#This Row],[SLA Atendimento]]</f>
        <v>3</v>
      </c>
      <c r="L39" s="11"/>
      <c r="M39" s="2">
        <v>13000</v>
      </c>
      <c r="N39" s="2">
        <v>12000</v>
      </c>
      <c r="O39" s="1" t="s">
        <v>30</v>
      </c>
      <c r="P39" s="2">
        <f>Tabela2[[#This Row],[Proposta
 Inicial]]-Tabela2[[#This Row],[Proposta
 Negociada]]</f>
        <v>1000</v>
      </c>
      <c r="Q39" s="4">
        <f>Tabela2[[#This Row],[Proposta
 Negociada]]/Tabela2[[#This Row],[Proposta
 Inicial]]-1</f>
        <v>-7.6923076923076872E-2</v>
      </c>
      <c r="R39" s="1" t="s">
        <v>57</v>
      </c>
      <c r="S39" t="s">
        <v>129</v>
      </c>
      <c r="T39" s="1">
        <v>450000262</v>
      </c>
      <c r="W39" s="1">
        <v>236</v>
      </c>
      <c r="X39" s="1" t="s">
        <v>32</v>
      </c>
      <c r="Y39" s="1" t="s">
        <v>32</v>
      </c>
    </row>
    <row r="40" spans="1:25" ht="14.45">
      <c r="A40" s="9">
        <v>46213</v>
      </c>
      <c r="B40" s="9">
        <v>46216</v>
      </c>
      <c r="C40" s="1">
        <f t="shared" si="0"/>
        <v>3</v>
      </c>
      <c r="D40" s="1" t="s">
        <v>36</v>
      </c>
      <c r="E40" s="1" t="s">
        <v>94</v>
      </c>
      <c r="F40" s="3" t="s">
        <v>45</v>
      </c>
      <c r="G40" s="3" t="s">
        <v>28</v>
      </c>
      <c r="H40" s="1" t="s">
        <v>46</v>
      </c>
      <c r="I40" s="1">
        <f>IFERROR(VLOOKUP(H40,SLA_Ref!$A$1:$B$8,2,FALSE),"")</f>
        <v>8</v>
      </c>
      <c r="J40" s="1" t="str">
        <f t="shared" ca="1" si="1"/>
        <v>NO PRAZO</v>
      </c>
      <c r="K40" s="11">
        <f>Tabela2[[#This Row],[SLA
Padrão]]-Tabela2[[#This Row],[SLA Atendimento]]</f>
        <v>5</v>
      </c>
      <c r="L40" s="11"/>
      <c r="M40" s="2">
        <v>179</v>
      </c>
      <c r="N40" s="2">
        <v>161</v>
      </c>
      <c r="O40" s="1" t="s">
        <v>30</v>
      </c>
      <c r="P40" s="2">
        <f>Tabela2[[#This Row],[Proposta
 Inicial]]-Tabela2[[#This Row],[Proposta
 Negociada]]</f>
        <v>18</v>
      </c>
      <c r="Q40" s="4">
        <f>Tabela2[[#This Row],[Proposta
 Negociada]]/Tabela2[[#This Row],[Proposta
 Inicial]]-1</f>
        <v>-0.1005586592178771</v>
      </c>
      <c r="R40" s="1" t="s">
        <v>57</v>
      </c>
      <c r="S40" t="s">
        <v>130</v>
      </c>
      <c r="T40" s="1">
        <v>450000265</v>
      </c>
      <c r="W40" s="1">
        <v>214583</v>
      </c>
      <c r="X40" s="1" t="s">
        <v>32</v>
      </c>
      <c r="Y40" s="1" t="s">
        <v>32</v>
      </c>
    </row>
    <row r="41" spans="1:25" ht="14.45">
      <c r="A41" s="9">
        <v>46216</v>
      </c>
      <c r="B41" s="9">
        <v>46216</v>
      </c>
      <c r="C41" s="1">
        <f t="shared" si="0"/>
        <v>0</v>
      </c>
      <c r="D41" s="1" t="s">
        <v>25</v>
      </c>
      <c r="E41" s="1" t="s">
        <v>120</v>
      </c>
      <c r="F41" s="3" t="s">
        <v>131</v>
      </c>
      <c r="G41" s="3" t="s">
        <v>28</v>
      </c>
      <c r="H41" s="1" t="s">
        <v>91</v>
      </c>
      <c r="I41" s="1">
        <f>IFERROR(VLOOKUP(H41,SLA_Ref!$A$1:$B$8,2,FALSE),"")</f>
        <v>30</v>
      </c>
      <c r="J41" s="1" t="s">
        <v>132</v>
      </c>
      <c r="K41" s="11">
        <v>0</v>
      </c>
      <c r="L41" s="11"/>
      <c r="M41" s="2">
        <v>275.69</v>
      </c>
      <c r="N41" s="2">
        <v>275.69</v>
      </c>
      <c r="O41" s="1" t="s">
        <v>30</v>
      </c>
      <c r="P41" s="2">
        <f>Tabela2[[#This Row],[Proposta
 Inicial]]-Tabela2[[#This Row],[Proposta
 Negociada]]</f>
        <v>0</v>
      </c>
      <c r="Q41" s="4">
        <f>Tabela2[[#This Row],[Proposta
 Negociada]]/Tabela2[[#This Row],[Proposta
 Inicial]]-1</f>
        <v>0</v>
      </c>
      <c r="S41" t="s">
        <v>133</v>
      </c>
      <c r="T41" s="1">
        <v>450000266</v>
      </c>
      <c r="X41" s="1" t="s">
        <v>32</v>
      </c>
      <c r="Y41" s="1" t="s">
        <v>32</v>
      </c>
    </row>
    <row r="42" spans="1:25" ht="14.45">
      <c r="A42" s="9">
        <v>46213</v>
      </c>
      <c r="B42" s="9">
        <v>46216</v>
      </c>
      <c r="C42" s="1">
        <f t="shared" si="0"/>
        <v>3</v>
      </c>
      <c r="D42" s="1" t="s">
        <v>36</v>
      </c>
      <c r="E42" s="1" t="s">
        <v>134</v>
      </c>
      <c r="F42" s="3" t="s">
        <v>135</v>
      </c>
      <c r="G42" s="3" t="s">
        <v>28</v>
      </c>
      <c r="H42" s="1" t="s">
        <v>29</v>
      </c>
      <c r="I42" s="1">
        <f>IFERROR(VLOOKUP(H42,SLA_Ref!$A$1:$B$8,2,FALSE),"")</f>
        <v>3</v>
      </c>
      <c r="J42" s="1" t="str">
        <f t="shared" ref="J42:J106" ca="1" si="2">IF(A42="","",IF(B42="",IF(TODAY()-A42&gt;I42,"ATRASADA","EM ANDAMENTO"),IF(B42-A42&gt;I42,"ATRASADA","NO PRAZO")))</f>
        <v>NO PRAZO</v>
      </c>
      <c r="K42" s="11">
        <f>Tabela2[[#This Row],[SLA
Padrão]]-Tabela2[[#This Row],[SLA Atendimento]]</f>
        <v>0</v>
      </c>
      <c r="L42" s="11"/>
      <c r="M42" s="16">
        <v>4796.6000000000004</v>
      </c>
      <c r="N42" s="16">
        <v>4796.6000000000004</v>
      </c>
      <c r="O42" s="1" t="s">
        <v>30</v>
      </c>
      <c r="P42" s="2">
        <f>Tabela2[[#This Row],[Proposta
 Inicial]]-Tabela2[[#This Row],[Proposta
 Negociada]]</f>
        <v>0</v>
      </c>
      <c r="Q42" s="4">
        <f>Tabela2[[#This Row],[Proposta
 Negociada]]/Tabela2[[#This Row],[Proposta
 Inicial]]-1</f>
        <v>0</v>
      </c>
      <c r="S42" t="s">
        <v>136</v>
      </c>
      <c r="T42" s="1">
        <v>450000267</v>
      </c>
      <c r="W42" s="1">
        <v>3181</v>
      </c>
      <c r="X42" s="1" t="s">
        <v>32</v>
      </c>
      <c r="Y42" s="1" t="s">
        <v>32</v>
      </c>
    </row>
    <row r="43" spans="1:25" ht="14.45">
      <c r="A43" s="9">
        <v>46215</v>
      </c>
      <c r="B43" s="9">
        <v>46215</v>
      </c>
      <c r="C43" s="1">
        <f t="shared" si="0"/>
        <v>0</v>
      </c>
      <c r="D43" s="1" t="s">
        <v>36</v>
      </c>
      <c r="E43" s="1" t="s">
        <v>70</v>
      </c>
      <c r="F43" s="3" t="s">
        <v>137</v>
      </c>
      <c r="G43" s="3" t="s">
        <v>28</v>
      </c>
      <c r="H43" s="1" t="s">
        <v>29</v>
      </c>
      <c r="I43" s="1">
        <f>IFERROR(VLOOKUP(H43,SLA_Ref!$A$1:$B$8,2,FALSE),"")</f>
        <v>3</v>
      </c>
      <c r="J43" s="1" t="str">
        <f t="shared" ca="1" si="2"/>
        <v>NO PRAZO</v>
      </c>
      <c r="K43" s="11">
        <f>Tabela2[[#This Row],[SLA
Padrão]]-Tabela2[[#This Row],[SLA Atendimento]]</f>
        <v>3</v>
      </c>
      <c r="L43" s="11"/>
      <c r="M43" s="2">
        <v>141.80000000000001</v>
      </c>
      <c r="N43" s="2">
        <v>141.80000000000001</v>
      </c>
      <c r="O43" s="1" t="s">
        <v>30</v>
      </c>
      <c r="P43" s="2">
        <f>Tabela2[[#This Row],[Proposta
 Inicial]]-Tabela2[[#This Row],[Proposta
 Negociada]]</f>
        <v>0</v>
      </c>
      <c r="Q43" s="4">
        <f>Tabela2[[#This Row],[Proposta
 Negociada]]/Tabela2[[#This Row],[Proposta
 Inicial]]-1</f>
        <v>0</v>
      </c>
      <c r="S43" t="s">
        <v>138</v>
      </c>
      <c r="T43" s="1">
        <v>450000268</v>
      </c>
      <c r="W43" s="1">
        <v>51003</v>
      </c>
      <c r="X43" s="1" t="s">
        <v>139</v>
      </c>
      <c r="Y43" s="1" t="s">
        <v>35</v>
      </c>
    </row>
    <row r="44" spans="1:25" ht="14.45">
      <c r="A44" s="9">
        <v>46213</v>
      </c>
      <c r="B44" s="9">
        <v>46216</v>
      </c>
      <c r="C44" s="1">
        <f t="shared" si="0"/>
        <v>3</v>
      </c>
      <c r="D44" s="1" t="s">
        <v>25</v>
      </c>
      <c r="E44" s="1" t="s">
        <v>26</v>
      </c>
      <c r="F44" s="3" t="s">
        <v>140</v>
      </c>
      <c r="G44" s="3" t="s">
        <v>28</v>
      </c>
      <c r="H44" s="1" t="s">
        <v>46</v>
      </c>
      <c r="I44" s="1">
        <f>IFERROR(VLOOKUP(H44,SLA_Ref!$A$1:$B$8,2,FALSE),"")</f>
        <v>8</v>
      </c>
      <c r="J44" s="1" t="str">
        <f t="shared" ca="1" si="2"/>
        <v>NO PRAZO</v>
      </c>
      <c r="K44" s="11">
        <f>Tabela2[[#This Row],[SLA
Padrão]]-Tabela2[[#This Row],[SLA Atendimento]]</f>
        <v>5</v>
      </c>
      <c r="L44" s="11"/>
      <c r="M44" s="2">
        <v>1344</v>
      </c>
      <c r="N44" s="2">
        <v>1344</v>
      </c>
      <c r="O44" s="1" t="s">
        <v>30</v>
      </c>
      <c r="P44" s="2">
        <f>Tabela2[[#This Row],[Proposta
 Inicial]]-Tabela2[[#This Row],[Proposta
 Negociada]]</f>
        <v>0</v>
      </c>
      <c r="Q44" s="4">
        <f>Tabela2[[#This Row],[Proposta
 Negociada]]/Tabela2[[#This Row],[Proposta
 Inicial]]-1</f>
        <v>0</v>
      </c>
      <c r="S44" t="s">
        <v>141</v>
      </c>
      <c r="T44" s="1">
        <v>450000269</v>
      </c>
      <c r="W44" s="1">
        <v>1904</v>
      </c>
      <c r="X44" s="1" t="s">
        <v>32</v>
      </c>
      <c r="Y44" s="1" t="s">
        <v>32</v>
      </c>
    </row>
    <row r="45" spans="1:25" ht="14.45">
      <c r="A45" s="9">
        <v>46215</v>
      </c>
      <c r="B45" s="9">
        <v>46215</v>
      </c>
      <c r="C45" s="1">
        <f t="shared" si="0"/>
        <v>0</v>
      </c>
      <c r="D45" s="1" t="s">
        <v>36</v>
      </c>
      <c r="E45" s="1" t="s">
        <v>70</v>
      </c>
      <c r="F45" s="3" t="s">
        <v>142</v>
      </c>
      <c r="G45" s="3" t="s">
        <v>28</v>
      </c>
      <c r="H45" s="1" t="s">
        <v>29</v>
      </c>
      <c r="I45" s="1">
        <f>IFERROR(VLOOKUP(H45,SLA_Ref!$A$1:$B$8,2,FALSE),"")</f>
        <v>3</v>
      </c>
      <c r="J45" s="1" t="str">
        <f t="shared" ca="1" si="2"/>
        <v>NO PRAZO</v>
      </c>
      <c r="K45" s="11">
        <f>Tabela2[[#This Row],[SLA
Padrão]]-Tabela2[[#This Row],[SLA Atendimento]]</f>
        <v>3</v>
      </c>
      <c r="L45" s="11"/>
      <c r="M45" s="2">
        <v>1917.51</v>
      </c>
      <c r="N45" s="2">
        <v>1450.4</v>
      </c>
      <c r="O45" s="1" t="s">
        <v>30</v>
      </c>
      <c r="P45" s="2">
        <f>Tabela2[[#This Row],[Proposta
 Inicial]]-Tabela2[[#This Row],[Proposta
 Negociada]]</f>
        <v>467.1099999999999</v>
      </c>
      <c r="Q45" s="4">
        <f>Tabela2[[#This Row],[Proposta
 Negociada]]/Tabela2[[#This Row],[Proposta
 Inicial]]-1</f>
        <v>-0.24360238017011637</v>
      </c>
      <c r="R45" s="1" t="s">
        <v>57</v>
      </c>
      <c r="S45" s="3" t="s">
        <v>138</v>
      </c>
      <c r="T45" s="1">
        <v>450000270</v>
      </c>
      <c r="W45" s="1">
        <v>2262</v>
      </c>
      <c r="X45" s="1" t="s">
        <v>32</v>
      </c>
      <c r="Y45" s="1" t="s">
        <v>35</v>
      </c>
    </row>
    <row r="46" spans="1:25" ht="14.45">
      <c r="A46" s="9">
        <v>46205</v>
      </c>
      <c r="B46" s="9">
        <v>46213</v>
      </c>
      <c r="C46" s="1">
        <f t="shared" si="0"/>
        <v>8</v>
      </c>
      <c r="D46" s="1" t="s">
        <v>25</v>
      </c>
      <c r="E46" s="1" t="s">
        <v>70</v>
      </c>
      <c r="F46" s="3" t="s">
        <v>143</v>
      </c>
      <c r="G46" s="3" t="s">
        <v>28</v>
      </c>
      <c r="H46" s="1" t="s">
        <v>46</v>
      </c>
      <c r="I46" s="1">
        <f>IFERROR(VLOOKUP(H46,SLA_Ref!$A$1:$B$8,2,FALSE),"")</f>
        <v>8</v>
      </c>
      <c r="J46" s="1" t="str">
        <f t="shared" ca="1" si="2"/>
        <v>NO PRAZO</v>
      </c>
      <c r="K46" s="11">
        <f>Tabela2[[#This Row],[SLA
Padrão]]-Tabela2[[#This Row],[SLA Atendimento]]</f>
        <v>0</v>
      </c>
      <c r="L46" s="11"/>
      <c r="M46" s="2">
        <v>360</v>
      </c>
      <c r="N46" s="2">
        <v>360</v>
      </c>
      <c r="O46" s="1" t="s">
        <v>30</v>
      </c>
      <c r="P46" s="2">
        <f>Tabela2[[#This Row],[Proposta
 Inicial]]-Tabela2[[#This Row],[Proposta
 Negociada]]</f>
        <v>0</v>
      </c>
      <c r="Q46" s="4">
        <f>Tabela2[[#This Row],[Proposta
 Negociada]]/Tabela2[[#This Row],[Proposta
 Inicial]]-1</f>
        <v>0</v>
      </c>
      <c r="S46" t="s">
        <v>72</v>
      </c>
      <c r="T46" s="1">
        <v>450000271</v>
      </c>
      <c r="W46" s="1">
        <v>4070</v>
      </c>
      <c r="X46" s="1" t="s">
        <v>32</v>
      </c>
      <c r="Y46" s="1" t="s">
        <v>32</v>
      </c>
    </row>
    <row r="47" spans="1:25" ht="14.45">
      <c r="A47" s="9">
        <v>46212</v>
      </c>
      <c r="B47" s="9">
        <v>46212</v>
      </c>
      <c r="C47" s="1">
        <f t="shared" si="0"/>
        <v>0</v>
      </c>
      <c r="D47" s="1" t="s">
        <v>25</v>
      </c>
      <c r="E47" s="1" t="s">
        <v>26</v>
      </c>
      <c r="F47" s="3" t="s">
        <v>50</v>
      </c>
      <c r="G47" s="3" t="s">
        <v>28</v>
      </c>
      <c r="H47" s="1" t="s">
        <v>46</v>
      </c>
      <c r="I47" s="1">
        <f>IFERROR(VLOOKUP(H47,SLA_Ref!$A$1:$B$8,2,FALSE),"")</f>
        <v>8</v>
      </c>
      <c r="J47" s="1" t="str">
        <f t="shared" ca="1" si="2"/>
        <v>NO PRAZO</v>
      </c>
      <c r="K47" s="11">
        <f>Tabela2[[#This Row],[SLA
Padrão]]-Tabela2[[#This Row],[SLA Atendimento]]</f>
        <v>8</v>
      </c>
      <c r="L47" s="11"/>
      <c r="M47" s="2">
        <v>508</v>
      </c>
      <c r="N47" s="2">
        <v>508</v>
      </c>
      <c r="O47" s="1" t="s">
        <v>30</v>
      </c>
      <c r="P47" s="2">
        <f>Tabela2[[#This Row],[Proposta
 Inicial]]-Tabela2[[#This Row],[Proposta
 Negociada]]</f>
        <v>0</v>
      </c>
      <c r="Q47" s="4">
        <f>Tabela2[[#This Row],[Proposta
 Negociada]]/Tabela2[[#This Row],[Proposta
 Inicial]]-1</f>
        <v>0</v>
      </c>
      <c r="S47" t="s">
        <v>144</v>
      </c>
      <c r="T47" s="1">
        <v>450000272</v>
      </c>
      <c r="W47" s="1">
        <v>26362</v>
      </c>
      <c r="X47" s="1" t="s">
        <v>32</v>
      </c>
      <c r="Y47" s="1" t="s">
        <v>32</v>
      </c>
    </row>
    <row r="48" spans="1:25" ht="14.45">
      <c r="A48" s="9">
        <v>46204</v>
      </c>
      <c r="B48" s="9">
        <v>46216</v>
      </c>
      <c r="C48" s="1">
        <f t="shared" si="0"/>
        <v>12</v>
      </c>
      <c r="D48" s="1" t="s">
        <v>25</v>
      </c>
      <c r="E48" s="1" t="s">
        <v>44</v>
      </c>
      <c r="F48" s="3" t="s">
        <v>145</v>
      </c>
      <c r="G48" s="3" t="s">
        <v>28</v>
      </c>
      <c r="H48" s="1" t="s">
        <v>29</v>
      </c>
      <c r="I48" s="1">
        <f>IFERROR(VLOOKUP(H48,SLA_Ref!$A$1:$B$8,2,FALSE),"")</f>
        <v>3</v>
      </c>
      <c r="J48" s="1" t="str">
        <f t="shared" ca="1" si="2"/>
        <v>ATRASADA</v>
      </c>
      <c r="K48" s="11">
        <f>Tabela2[[#This Row],[SLA
Padrão]]-Tabela2[[#This Row],[SLA Atendimento]]</f>
        <v>-9</v>
      </c>
      <c r="L48" s="11"/>
      <c r="M48" s="2">
        <v>195.78</v>
      </c>
      <c r="N48" s="2">
        <v>195.78</v>
      </c>
      <c r="O48" s="1" t="s">
        <v>30</v>
      </c>
      <c r="P48" s="2">
        <f>Tabela2[[#This Row],[Proposta
 Inicial]]-Tabela2[[#This Row],[Proposta
 Negociada]]</f>
        <v>0</v>
      </c>
      <c r="Q48" s="4">
        <f>Tabela2[[#This Row],[Proposta
 Negociada]]/Tabela2[[#This Row],[Proposta
 Inicial]]-1</f>
        <v>0</v>
      </c>
      <c r="S48" t="s">
        <v>146</v>
      </c>
      <c r="T48" s="1">
        <v>450000273</v>
      </c>
      <c r="W48" s="1">
        <v>129373</v>
      </c>
      <c r="X48" s="1" t="s">
        <v>32</v>
      </c>
      <c r="Y48" s="1" t="s">
        <v>35</v>
      </c>
    </row>
    <row r="49" spans="1:25" ht="14.45">
      <c r="A49" s="9">
        <v>46215</v>
      </c>
      <c r="B49" s="9">
        <v>46216</v>
      </c>
      <c r="C49" s="1">
        <f t="shared" si="0"/>
        <v>1</v>
      </c>
      <c r="D49" s="1" t="s">
        <v>25</v>
      </c>
      <c r="E49" s="1" t="s">
        <v>70</v>
      </c>
      <c r="F49" s="3" t="s">
        <v>50</v>
      </c>
      <c r="G49" s="3" t="s">
        <v>28</v>
      </c>
      <c r="H49" s="1" t="s">
        <v>46</v>
      </c>
      <c r="I49" s="1">
        <f>IFERROR(VLOOKUP(H49,SLA_Ref!$A$1:$B$8,2,FALSE),"")</f>
        <v>8</v>
      </c>
      <c r="J49" s="1" t="str">
        <f t="shared" ca="1" si="2"/>
        <v>NO PRAZO</v>
      </c>
      <c r="K49" s="11">
        <f>Tabela2[[#This Row],[SLA
Padrão]]-Tabela2[[#This Row],[SLA Atendimento]]</f>
        <v>7</v>
      </c>
      <c r="L49" s="11"/>
      <c r="M49" s="2">
        <v>448.65</v>
      </c>
      <c r="N49" s="2">
        <v>448.65</v>
      </c>
      <c r="O49" s="1" t="s">
        <v>30</v>
      </c>
      <c r="P49" s="2">
        <f>Tabela2[[#This Row],[Proposta
 Inicial]]-Tabela2[[#This Row],[Proposta
 Negociada]]</f>
        <v>0</v>
      </c>
      <c r="Q49" s="4">
        <f>Tabela2[[#This Row],[Proposta
 Negociada]]/Tabela2[[#This Row],[Proposta
 Inicial]]-1</f>
        <v>0</v>
      </c>
      <c r="S49" t="s">
        <v>147</v>
      </c>
      <c r="T49" s="1">
        <v>450000274</v>
      </c>
      <c r="X49" s="1" t="s">
        <v>35</v>
      </c>
      <c r="Y49" s="1" t="s">
        <v>32</v>
      </c>
    </row>
    <row r="50" spans="1:25" ht="14.45">
      <c r="A50" s="9">
        <v>46215</v>
      </c>
      <c r="B50" s="9">
        <v>46216</v>
      </c>
      <c r="C50" s="1">
        <f t="shared" si="0"/>
        <v>1</v>
      </c>
      <c r="D50" s="1" t="s">
        <v>25</v>
      </c>
      <c r="E50" s="1" t="s">
        <v>70</v>
      </c>
      <c r="F50" s="3" t="s">
        <v>27</v>
      </c>
      <c r="G50" s="3" t="s">
        <v>28</v>
      </c>
      <c r="H50" s="1" t="s">
        <v>46</v>
      </c>
      <c r="I50" s="1">
        <f>IFERROR(VLOOKUP(H50,SLA_Ref!$A$1:$B$8,2,FALSE),"")</f>
        <v>8</v>
      </c>
      <c r="J50" s="1" t="str">
        <f t="shared" ca="1" si="2"/>
        <v>NO PRAZO</v>
      </c>
      <c r="K50" s="11">
        <f>Tabela2[[#This Row],[SLA
Padrão]]-Tabela2[[#This Row],[SLA Atendimento]]</f>
        <v>7</v>
      </c>
      <c r="L50" s="11"/>
      <c r="M50" s="2">
        <v>224</v>
      </c>
      <c r="N50" s="2">
        <v>224</v>
      </c>
      <c r="O50" s="1" t="s">
        <v>30</v>
      </c>
      <c r="P50" s="2">
        <f>Tabela2[[#This Row],[Proposta
 Inicial]]-Tabela2[[#This Row],[Proposta
 Negociada]]</f>
        <v>0</v>
      </c>
      <c r="Q50" s="4">
        <f>Tabela2[[#This Row],[Proposta
 Negociada]]/Tabela2[[#This Row],[Proposta
 Inicial]]-1</f>
        <v>0</v>
      </c>
      <c r="S50" t="s">
        <v>147</v>
      </c>
      <c r="T50" s="1">
        <v>450000275</v>
      </c>
      <c r="W50" s="1">
        <v>25351</v>
      </c>
      <c r="X50" s="1" t="s">
        <v>32</v>
      </c>
      <c r="Y50" s="1" t="s">
        <v>32</v>
      </c>
    </row>
    <row r="51" spans="1:25" ht="14.45">
      <c r="A51" s="9">
        <v>46217</v>
      </c>
      <c r="B51" s="9">
        <v>46213</v>
      </c>
      <c r="C51" s="1">
        <f t="shared" si="0"/>
        <v>-4</v>
      </c>
      <c r="D51" s="1" t="s">
        <v>25</v>
      </c>
      <c r="E51" s="1" t="s">
        <v>70</v>
      </c>
      <c r="F51" s="3" t="s">
        <v>148</v>
      </c>
      <c r="G51" s="3" t="s">
        <v>28</v>
      </c>
      <c r="H51" s="1" t="s">
        <v>83</v>
      </c>
      <c r="I51" s="1">
        <f>IFERROR(VLOOKUP(H51,SLA_Ref!$A$1:$B$8,2,FALSE),"")</f>
        <v>5</v>
      </c>
      <c r="J51" s="1" t="str">
        <f t="shared" ca="1" si="2"/>
        <v>NO PRAZO</v>
      </c>
      <c r="K51" s="11">
        <f>Tabela2[[#This Row],[SLA
Padrão]]-Tabela2[[#This Row],[SLA Atendimento]]</f>
        <v>9</v>
      </c>
      <c r="L51" s="11"/>
      <c r="M51" s="2">
        <v>3000</v>
      </c>
      <c r="N51" s="2">
        <v>3000</v>
      </c>
      <c r="O51" s="1" t="s">
        <v>30</v>
      </c>
      <c r="P51" s="2">
        <f>Tabela2[[#This Row],[Proposta
 Inicial]]-Tabela2[[#This Row],[Proposta
 Negociada]]</f>
        <v>0</v>
      </c>
      <c r="Q51" s="4">
        <f>Tabela2[[#This Row],[Proposta
 Negociada]]/Tabela2[[#This Row],[Proposta
 Inicial]]-1</f>
        <v>0</v>
      </c>
      <c r="S51" t="s">
        <v>149</v>
      </c>
      <c r="T51" s="1">
        <v>450000277</v>
      </c>
      <c r="W51" s="1">
        <v>3595</v>
      </c>
      <c r="X51" s="1" t="s">
        <v>32</v>
      </c>
      <c r="Y51" s="1" t="s">
        <v>32</v>
      </c>
    </row>
    <row r="52" spans="1:25" ht="14.45">
      <c r="A52" s="9">
        <v>46204</v>
      </c>
      <c r="B52" s="9">
        <v>46206</v>
      </c>
      <c r="C52" s="1">
        <f t="shared" si="0"/>
        <v>2</v>
      </c>
      <c r="D52" s="1" t="s">
        <v>25</v>
      </c>
      <c r="E52" s="1" t="s">
        <v>26</v>
      </c>
      <c r="F52" s="3" t="s">
        <v>150</v>
      </c>
      <c r="G52" s="3" t="s">
        <v>28</v>
      </c>
      <c r="H52" s="1" t="s">
        <v>46</v>
      </c>
      <c r="I52" s="1">
        <f>IFERROR(VLOOKUP(H52,SLA_Ref!$A$1:$B$8,2,FALSE),"")</f>
        <v>8</v>
      </c>
      <c r="J52" s="1" t="str">
        <f t="shared" ca="1" si="2"/>
        <v>NO PRAZO</v>
      </c>
      <c r="K52" s="11">
        <f>Tabela2[[#This Row],[SLA
Padrão]]-Tabela2[[#This Row],[SLA Atendimento]]</f>
        <v>6</v>
      </c>
      <c r="L52" s="11"/>
      <c r="M52" s="2">
        <v>55</v>
      </c>
      <c r="N52" s="2">
        <v>55</v>
      </c>
      <c r="O52" s="1" t="s">
        <v>30</v>
      </c>
      <c r="P52" s="2">
        <f>Tabela2[[#This Row],[Proposta
 Inicial]]-Tabela2[[#This Row],[Proposta
 Negociada]]</f>
        <v>0</v>
      </c>
      <c r="Q52" s="4">
        <f>Tabela2[[#This Row],[Proposta
 Negociada]]/Tabela2[[#This Row],[Proposta
 Inicial]]-1</f>
        <v>0</v>
      </c>
      <c r="S52" t="s">
        <v>151</v>
      </c>
      <c r="T52" s="1">
        <v>450000278</v>
      </c>
      <c r="W52" s="1">
        <v>7525</v>
      </c>
      <c r="X52" s="1" t="s">
        <v>32</v>
      </c>
      <c r="Y52" s="1" t="s">
        <v>35</v>
      </c>
    </row>
    <row r="53" spans="1:25" ht="14.45">
      <c r="A53" s="9">
        <v>46215</v>
      </c>
      <c r="B53" s="9">
        <v>46218</v>
      </c>
      <c r="C53" s="1">
        <f t="shared" si="0"/>
        <v>3</v>
      </c>
      <c r="D53" s="1" t="s">
        <v>25</v>
      </c>
      <c r="E53" s="1" t="s">
        <v>70</v>
      </c>
      <c r="F53" s="3" t="s">
        <v>152</v>
      </c>
      <c r="G53" s="3" t="s">
        <v>28</v>
      </c>
      <c r="H53" s="1" t="s">
        <v>46</v>
      </c>
      <c r="I53" s="1">
        <f>IFERROR(VLOOKUP(H53,SLA_Ref!$A$1:$B$8,2,FALSE),"")</f>
        <v>8</v>
      </c>
      <c r="J53" s="1" t="str">
        <f t="shared" ca="1" si="2"/>
        <v>NO PRAZO</v>
      </c>
      <c r="K53" s="11">
        <f>Tabela2[[#This Row],[SLA
Padrão]]-Tabela2[[#This Row],[SLA Atendimento]]</f>
        <v>5</v>
      </c>
      <c r="L53" s="11"/>
      <c r="M53" s="2">
        <v>332.4</v>
      </c>
      <c r="N53" s="2">
        <v>332.4</v>
      </c>
      <c r="O53" s="1" t="s">
        <v>30</v>
      </c>
      <c r="P53" s="2">
        <f>Tabela2[[#This Row],[Proposta
 Inicial]]-Tabela2[[#This Row],[Proposta
 Negociada]]</f>
        <v>0</v>
      </c>
      <c r="Q53" s="4">
        <f>Tabela2[[#This Row],[Proposta
 Negociada]]/Tabela2[[#This Row],[Proposta
 Inicial]]-1</f>
        <v>0</v>
      </c>
      <c r="S53" t="s">
        <v>153</v>
      </c>
      <c r="T53" s="1">
        <v>450000279</v>
      </c>
      <c r="X53" s="1" t="s">
        <v>35</v>
      </c>
      <c r="Y53" s="1" t="s">
        <v>32</v>
      </c>
    </row>
    <row r="54" spans="1:25" ht="14.45">
      <c r="A54" s="9">
        <v>46215</v>
      </c>
      <c r="B54" s="9">
        <v>46218</v>
      </c>
      <c r="C54" s="1">
        <f t="shared" si="0"/>
        <v>3</v>
      </c>
      <c r="D54" s="1" t="s">
        <v>25</v>
      </c>
      <c r="E54" s="1" t="s">
        <v>70</v>
      </c>
      <c r="F54" s="3" t="s">
        <v>152</v>
      </c>
      <c r="G54" s="3" t="s">
        <v>28</v>
      </c>
      <c r="H54" s="1" t="s">
        <v>46</v>
      </c>
      <c r="I54" s="1">
        <f>IFERROR(VLOOKUP(H54,SLA_Ref!$A$1:$B$8,2,FALSE),"")</f>
        <v>8</v>
      </c>
      <c r="J54" s="1" t="str">
        <f t="shared" ca="1" si="2"/>
        <v>NO PRAZO</v>
      </c>
      <c r="K54" s="11">
        <f>Tabela2[[#This Row],[SLA
Padrão]]-Tabela2[[#This Row],[SLA Atendimento]]</f>
        <v>5</v>
      </c>
      <c r="L54" s="11"/>
      <c r="M54" s="2">
        <v>269</v>
      </c>
      <c r="N54" s="2">
        <v>269</v>
      </c>
      <c r="O54" s="1" t="s">
        <v>30</v>
      </c>
      <c r="P54" s="2">
        <f>Tabela2[[#This Row],[Proposta
 Inicial]]-Tabela2[[#This Row],[Proposta
 Negociada]]</f>
        <v>0</v>
      </c>
      <c r="Q54" s="4">
        <f>Tabela2[[#This Row],[Proposta
 Negociada]]/Tabela2[[#This Row],[Proposta
 Inicial]]-1</f>
        <v>0</v>
      </c>
      <c r="S54" t="s">
        <v>154</v>
      </c>
      <c r="T54" s="1">
        <v>450000280</v>
      </c>
      <c r="X54" s="1" t="s">
        <v>35</v>
      </c>
      <c r="Y54" s="1" t="s">
        <v>32</v>
      </c>
    </row>
    <row r="55" spans="1:25" ht="14.45">
      <c r="A55" s="9">
        <v>46218</v>
      </c>
      <c r="B55" s="9">
        <v>46218</v>
      </c>
      <c r="C55" s="1">
        <f t="shared" si="0"/>
        <v>0</v>
      </c>
      <c r="D55" s="1" t="s">
        <v>81</v>
      </c>
      <c r="E55" s="1" t="s">
        <v>155</v>
      </c>
      <c r="F55" s="3" t="s">
        <v>156</v>
      </c>
      <c r="G55" s="3" t="s">
        <v>28</v>
      </c>
      <c r="H55" s="1" t="s">
        <v>83</v>
      </c>
      <c r="I55" s="1">
        <f>IFERROR(VLOOKUP(H55,SLA_Ref!$A$1:$B$8,2,FALSE),"")</f>
        <v>5</v>
      </c>
      <c r="J55" s="1" t="str">
        <f t="shared" ca="1" si="2"/>
        <v>NO PRAZO</v>
      </c>
      <c r="K55" s="11">
        <f>Tabela2[[#This Row],[SLA
Padrão]]-Tabela2[[#This Row],[SLA Atendimento]]</f>
        <v>5</v>
      </c>
      <c r="L55" s="11"/>
      <c r="M55" s="2">
        <v>55000</v>
      </c>
      <c r="N55" s="2">
        <v>55000</v>
      </c>
      <c r="O55" s="1" t="s">
        <v>30</v>
      </c>
      <c r="P55" s="2">
        <f>Tabela2[[#This Row],[Proposta
 Inicial]]-Tabela2[[#This Row],[Proposta
 Negociada]]</f>
        <v>0</v>
      </c>
      <c r="Q55" s="4">
        <f>Tabela2[[#This Row],[Proposta
 Negociada]]/Tabela2[[#This Row],[Proposta
 Inicial]]-1</f>
        <v>0</v>
      </c>
      <c r="S55" t="s">
        <v>157</v>
      </c>
      <c r="T55" s="1">
        <v>450000281</v>
      </c>
      <c r="X55" s="1" t="s">
        <v>35</v>
      </c>
      <c r="Y55" s="1" t="s">
        <v>35</v>
      </c>
    </row>
    <row r="56" spans="1:25" ht="14.45">
      <c r="A56" s="9">
        <v>46218</v>
      </c>
      <c r="B56" s="9">
        <v>46218</v>
      </c>
      <c r="C56" s="1">
        <f t="shared" si="0"/>
        <v>0</v>
      </c>
      <c r="D56" s="1" t="s">
        <v>81</v>
      </c>
      <c r="E56" s="1" t="s">
        <v>70</v>
      </c>
      <c r="F56" s="3" t="s">
        <v>158</v>
      </c>
      <c r="G56" s="3" t="s">
        <v>28</v>
      </c>
      <c r="H56" s="1" t="s">
        <v>29</v>
      </c>
      <c r="I56" s="1">
        <f>IFERROR(VLOOKUP(H56,SLA_Ref!$A$1:$B$8,2,FALSE),"")</f>
        <v>3</v>
      </c>
      <c r="J56" s="1" t="str">
        <f t="shared" ca="1" si="2"/>
        <v>NO PRAZO</v>
      </c>
      <c r="K56" s="11">
        <f>Tabela2[[#This Row],[SLA
Padrão]]-Tabela2[[#This Row],[SLA Atendimento]]</f>
        <v>3</v>
      </c>
      <c r="L56" s="17">
        <v>3091.2</v>
      </c>
      <c r="M56" s="18">
        <v>3091.2</v>
      </c>
      <c r="N56" s="2">
        <v>2616</v>
      </c>
      <c r="O56" s="1" t="s">
        <v>30</v>
      </c>
      <c r="P56" s="2">
        <f>Tabela2[[#This Row],[Proposta
 Inicial]]-Tabela2[[#This Row],[Proposta
 Negociada]]</f>
        <v>475.19999999999982</v>
      </c>
      <c r="Q56" s="4">
        <f>Tabela2[[#This Row],[Proposta
 Negociada]]/Tabela2[[#This Row],[Proposta
 Inicial]]-1</f>
        <v>-0.15372670807453415</v>
      </c>
      <c r="R56" s="1" t="s">
        <v>41</v>
      </c>
      <c r="S56" t="s">
        <v>159</v>
      </c>
      <c r="T56" s="1">
        <v>450000282</v>
      </c>
      <c r="W56" s="1">
        <v>1849</v>
      </c>
      <c r="X56" s="1" t="s">
        <v>32</v>
      </c>
      <c r="Y56" s="1" t="s">
        <v>35</v>
      </c>
    </row>
    <row r="57" spans="1:25" ht="14.45">
      <c r="A57" s="9">
        <v>46219</v>
      </c>
      <c r="B57" s="9">
        <v>46220</v>
      </c>
      <c r="C57" s="1">
        <f t="shared" si="0"/>
        <v>1</v>
      </c>
      <c r="D57" s="1" t="s">
        <v>36</v>
      </c>
      <c r="E57" s="1" t="s">
        <v>70</v>
      </c>
      <c r="F57" s="3" t="s">
        <v>145</v>
      </c>
      <c r="G57" s="3" t="s">
        <v>28</v>
      </c>
      <c r="H57" s="1" t="s">
        <v>46</v>
      </c>
      <c r="I57" s="1">
        <f>IFERROR(VLOOKUP(H57,SLA_Ref!$A$1:$B$8,2,FALSE),"")</f>
        <v>8</v>
      </c>
      <c r="J57" s="1" t="str">
        <f t="shared" ca="1" si="2"/>
        <v>NO PRAZO</v>
      </c>
      <c r="K57" s="11">
        <f>Tabela2[[#This Row],[SLA
Padrão]]-Tabela2[[#This Row],[SLA Atendimento]]</f>
        <v>7</v>
      </c>
      <c r="L57" s="11"/>
      <c r="M57" s="2">
        <v>280.23</v>
      </c>
      <c r="N57" s="2">
        <v>280.23</v>
      </c>
      <c r="O57" s="1" t="s">
        <v>30</v>
      </c>
      <c r="P57" s="2">
        <f>Tabela2[[#This Row],[Proposta
 Inicial]]-Tabela2[[#This Row],[Proposta
 Negociada]]</f>
        <v>0</v>
      </c>
      <c r="Q57" s="4">
        <f>Tabela2[[#This Row],[Proposta
 Negociada]]/Tabela2[[#This Row],[Proposta
 Inicial]]-1</f>
        <v>0</v>
      </c>
      <c r="S57" t="s">
        <v>160</v>
      </c>
      <c r="T57" s="1">
        <v>450000288</v>
      </c>
      <c r="X57" s="1" t="s">
        <v>35</v>
      </c>
      <c r="Y57" s="1" t="s">
        <v>35</v>
      </c>
    </row>
    <row r="58" spans="1:25" ht="14.45">
      <c r="A58" s="9">
        <v>46219</v>
      </c>
      <c r="B58" s="9">
        <v>46220</v>
      </c>
      <c r="C58" s="1">
        <f t="shared" si="0"/>
        <v>1</v>
      </c>
      <c r="D58" s="1" t="s">
        <v>36</v>
      </c>
      <c r="E58" s="1" t="s">
        <v>70</v>
      </c>
      <c r="F58" s="3" t="s">
        <v>161</v>
      </c>
      <c r="G58" s="3" t="s">
        <v>28</v>
      </c>
      <c r="H58" s="1" t="s">
        <v>46</v>
      </c>
      <c r="I58" s="1">
        <f>IFERROR(VLOOKUP(H58,SLA_Ref!$A$1:$B$8,2,FALSE),"")</f>
        <v>8</v>
      </c>
      <c r="J58" s="1" t="str">
        <f t="shared" ca="1" si="2"/>
        <v>NO PRAZO</v>
      </c>
      <c r="K58" s="11">
        <f>Tabela2[[#This Row],[SLA
Padrão]]-Tabela2[[#This Row],[SLA Atendimento]]</f>
        <v>7</v>
      </c>
      <c r="L58" s="11"/>
      <c r="M58" s="2">
        <v>79.16</v>
      </c>
      <c r="N58" s="2">
        <v>58.6</v>
      </c>
      <c r="O58" s="1" t="s">
        <v>30</v>
      </c>
      <c r="P58" s="2">
        <f>Tabela2[[#This Row],[Proposta
 Inicial]]-Tabela2[[#This Row],[Proposta
 Negociada]]</f>
        <v>20.559999999999995</v>
      </c>
      <c r="Q58" s="4">
        <f>Tabela2[[#This Row],[Proposta
 Negociada]]/Tabela2[[#This Row],[Proposta
 Inicial]]-1</f>
        <v>-0.25972713491662447</v>
      </c>
      <c r="R58" s="1" t="s">
        <v>57</v>
      </c>
      <c r="S58" t="s">
        <v>162</v>
      </c>
      <c r="T58" s="1">
        <v>450000289</v>
      </c>
      <c r="W58" s="1">
        <v>48694</v>
      </c>
      <c r="X58" s="1" t="s">
        <v>139</v>
      </c>
      <c r="Y58" s="1" t="s">
        <v>35</v>
      </c>
    </row>
    <row r="59" spans="1:25" ht="14.45">
      <c r="A59" s="9">
        <v>46219</v>
      </c>
      <c r="B59" s="9">
        <v>46220</v>
      </c>
      <c r="C59" s="1">
        <f t="shared" si="0"/>
        <v>1</v>
      </c>
      <c r="D59" s="1" t="s">
        <v>36</v>
      </c>
      <c r="E59" s="1" t="s">
        <v>70</v>
      </c>
      <c r="F59" s="3" t="s">
        <v>163</v>
      </c>
      <c r="G59" s="3" t="s">
        <v>28</v>
      </c>
      <c r="H59" s="1" t="s">
        <v>46</v>
      </c>
      <c r="I59" s="1">
        <f>IFERROR(VLOOKUP(H59,SLA_Ref!$A$1:$B$8,2,FALSE),"")</f>
        <v>8</v>
      </c>
      <c r="J59" s="1" t="str">
        <f t="shared" ca="1" si="2"/>
        <v>NO PRAZO</v>
      </c>
      <c r="K59" s="11">
        <f>Tabela2[[#This Row],[SLA
Padrão]]-Tabela2[[#This Row],[SLA Atendimento]]</f>
        <v>7</v>
      </c>
      <c r="L59" s="11"/>
      <c r="M59" s="2">
        <v>95</v>
      </c>
      <c r="N59" s="2">
        <v>95</v>
      </c>
      <c r="O59" s="1" t="s">
        <v>30</v>
      </c>
      <c r="P59" s="2">
        <f>Tabela2[[#This Row],[Proposta
 Inicial]]-Tabela2[[#This Row],[Proposta
 Negociada]]</f>
        <v>0</v>
      </c>
      <c r="Q59" s="4">
        <f>Tabela2[[#This Row],[Proposta
 Negociada]]/Tabela2[[#This Row],[Proposta
 Inicial]]-1</f>
        <v>0</v>
      </c>
      <c r="S59" t="s">
        <v>164</v>
      </c>
      <c r="T59" s="1">
        <v>450000290</v>
      </c>
      <c r="W59" s="1">
        <v>1486</v>
      </c>
      <c r="X59" s="1" t="s">
        <v>35</v>
      </c>
      <c r="Y59" s="1" t="s">
        <v>35</v>
      </c>
    </row>
    <row r="60" spans="1:25" ht="14.45">
      <c r="A60" s="9">
        <v>46217</v>
      </c>
      <c r="B60" s="9">
        <v>46220</v>
      </c>
      <c r="C60" s="1">
        <f t="shared" si="0"/>
        <v>3</v>
      </c>
      <c r="D60" s="1" t="s">
        <v>36</v>
      </c>
      <c r="E60" s="1" t="s">
        <v>94</v>
      </c>
      <c r="F60" s="3" t="s">
        <v>165</v>
      </c>
      <c r="G60" s="3" t="s">
        <v>28</v>
      </c>
      <c r="H60" s="1" t="s">
        <v>46</v>
      </c>
      <c r="I60" s="1">
        <f>IFERROR(VLOOKUP(H60,SLA_Ref!$A$1:$B$8,2,FALSE),"")</f>
        <v>8</v>
      </c>
      <c r="J60" s="1" t="str">
        <f t="shared" ca="1" si="2"/>
        <v>NO PRAZO</v>
      </c>
      <c r="K60" s="11">
        <f>Tabela2[[#This Row],[SLA
Padrão]]-Tabela2[[#This Row],[SLA Atendimento]]</f>
        <v>5</v>
      </c>
      <c r="L60" s="11"/>
      <c r="M60" s="13">
        <v>7426</v>
      </c>
      <c r="N60" s="13">
        <v>6000</v>
      </c>
      <c r="O60" s="1" t="s">
        <v>30</v>
      </c>
      <c r="P60" s="2">
        <f>Tabela2[[#This Row],[Proposta
 Inicial]]-Tabela2[[#This Row],[Proposta
 Negociada]]</f>
        <v>1426</v>
      </c>
      <c r="Q60" s="4">
        <f>Tabela2[[#This Row],[Proposta
 Negociada]]/Tabela2[[#This Row],[Proposta
 Inicial]]-1</f>
        <v>-0.19202800969566391</v>
      </c>
      <c r="R60" s="1" t="s">
        <v>57</v>
      </c>
      <c r="S60" t="s">
        <v>166</v>
      </c>
      <c r="T60" s="1">
        <v>450000291</v>
      </c>
      <c r="X60" s="1" t="s">
        <v>35</v>
      </c>
      <c r="Y60" s="1" t="s">
        <v>32</v>
      </c>
    </row>
    <row r="61" spans="1:25" ht="14.25" customHeight="1">
      <c r="A61" s="9">
        <v>46195</v>
      </c>
      <c r="B61" s="9">
        <v>46220</v>
      </c>
      <c r="C61" s="1">
        <f t="shared" si="0"/>
        <v>25</v>
      </c>
      <c r="D61" s="1" t="s">
        <v>36</v>
      </c>
      <c r="E61" s="1" t="s">
        <v>61</v>
      </c>
      <c r="F61" s="3" t="s">
        <v>167</v>
      </c>
      <c r="G61" s="3" t="s">
        <v>28</v>
      </c>
      <c r="H61" s="1" t="s">
        <v>40</v>
      </c>
      <c r="I61" s="1">
        <f>IFERROR(VLOOKUP(H61,SLA_Ref!$A$1:$B$8,2,FALSE),"")</f>
        <v>30</v>
      </c>
      <c r="J61" s="1" t="str">
        <f t="shared" ca="1" si="2"/>
        <v>NO PRAZO</v>
      </c>
      <c r="K61" s="11">
        <f>Tabela2[[#This Row],[SLA
Padrão]]-Tabela2[[#This Row],[SLA Atendimento]]</f>
        <v>5</v>
      </c>
      <c r="L61" s="11"/>
      <c r="M61" s="2">
        <v>3916.76</v>
      </c>
      <c r="N61" s="2">
        <v>1479.76</v>
      </c>
      <c r="O61" s="1" t="s">
        <v>30</v>
      </c>
      <c r="P61" s="2">
        <f>Tabela2[[#This Row],[Proposta
 Inicial]]-Tabela2[[#This Row],[Proposta
 Negociada]]</f>
        <v>2437</v>
      </c>
      <c r="Q61" s="4">
        <f>Tabela2[[#This Row],[Proposta
 Negociada]]/Tabela2[[#This Row],[Proposta
 Inicial]]-1</f>
        <v>-0.6221979391129403</v>
      </c>
      <c r="R61" s="1" t="s">
        <v>57</v>
      </c>
      <c r="S61" t="s">
        <v>168</v>
      </c>
      <c r="T61" s="1">
        <v>450000292</v>
      </c>
      <c r="X61" s="1" t="s">
        <v>35</v>
      </c>
      <c r="Y61" s="1" t="s">
        <v>35</v>
      </c>
    </row>
    <row r="62" spans="1:25" ht="14.45">
      <c r="A62" s="9">
        <v>46219</v>
      </c>
      <c r="B62" s="9">
        <v>46220</v>
      </c>
      <c r="C62" s="1">
        <f t="shared" si="0"/>
        <v>1</v>
      </c>
      <c r="D62" s="1" t="s">
        <v>36</v>
      </c>
      <c r="E62" s="1" t="s">
        <v>44</v>
      </c>
      <c r="F62" t="s">
        <v>169</v>
      </c>
      <c r="G62" s="3" t="s">
        <v>28</v>
      </c>
      <c r="H62" s="1" t="s">
        <v>46</v>
      </c>
      <c r="I62" s="1">
        <f>IFERROR(VLOOKUP(H62,SLA_Ref!$A$1:$B$8,2,FALSE),"")</f>
        <v>8</v>
      </c>
      <c r="J62" s="1" t="str">
        <f t="shared" ca="1" si="2"/>
        <v>NO PRAZO</v>
      </c>
      <c r="K62" s="11">
        <f>Tabela2[[#This Row],[SLA
Padrão]]-Tabela2[[#This Row],[SLA Atendimento]]</f>
        <v>7</v>
      </c>
      <c r="L62" s="11"/>
      <c r="M62" s="2">
        <f>227.98+31.99</f>
        <v>259.96999999999997</v>
      </c>
      <c r="N62" s="2">
        <v>227.98</v>
      </c>
      <c r="O62" s="1" t="s">
        <v>30</v>
      </c>
      <c r="P62" s="2">
        <f>Tabela2[[#This Row],[Proposta
 Inicial]]-Tabela2[[#This Row],[Proposta
 Negociada]]</f>
        <v>31.989999999999981</v>
      </c>
      <c r="Q62" s="4">
        <f>Tabela2[[#This Row],[Proposta
 Negociada]]/Tabela2[[#This Row],[Proposta
 Inicial]]-1</f>
        <v>-0.12305265992229864</v>
      </c>
      <c r="R62" s="1" t="s">
        <v>57</v>
      </c>
      <c r="S62" t="s">
        <v>170</v>
      </c>
      <c r="T62" s="1">
        <v>450000293</v>
      </c>
      <c r="W62" s="14">
        <v>220584</v>
      </c>
      <c r="X62" s="1" t="s">
        <v>32</v>
      </c>
      <c r="Y62" s="1" t="s">
        <v>35</v>
      </c>
    </row>
    <row r="63" spans="1:25" ht="14.45">
      <c r="A63" s="9">
        <v>46220</v>
      </c>
      <c r="B63" s="9">
        <v>46220</v>
      </c>
      <c r="C63" s="1">
        <f t="shared" si="0"/>
        <v>0</v>
      </c>
      <c r="D63" s="1" t="s">
        <v>36</v>
      </c>
      <c r="E63" s="1" t="s">
        <v>55</v>
      </c>
      <c r="F63" s="3" t="s">
        <v>135</v>
      </c>
      <c r="G63" s="3" t="s">
        <v>28</v>
      </c>
      <c r="H63" s="1" t="s">
        <v>29</v>
      </c>
      <c r="I63" s="1">
        <f>IFERROR(VLOOKUP(H63,SLA_Ref!$A$1:$B$8,2,FALSE),"")</f>
        <v>3</v>
      </c>
      <c r="J63" s="1" t="str">
        <f t="shared" ca="1" si="2"/>
        <v>NO PRAZO</v>
      </c>
      <c r="K63" s="11">
        <f>Tabela2[[#This Row],[SLA
Padrão]]-Tabela2[[#This Row],[SLA Atendimento]]</f>
        <v>3</v>
      </c>
      <c r="L63" s="11"/>
      <c r="M63" s="2">
        <f>54.9*16</f>
        <v>878.4</v>
      </c>
      <c r="N63" s="2">
        <v>718.4</v>
      </c>
      <c r="O63" s="1" t="s">
        <v>30</v>
      </c>
      <c r="P63" s="2">
        <f>Tabela2[[#This Row],[Proposta
 Inicial]]-Tabela2[[#This Row],[Proposta
 Negociada]]</f>
        <v>160</v>
      </c>
      <c r="Q63" s="4">
        <f>Tabela2[[#This Row],[Proposta
 Negociada]]/Tabela2[[#This Row],[Proposta
 Inicial]]-1</f>
        <v>-0.18214936247723135</v>
      </c>
      <c r="R63" s="1" t="s">
        <v>57</v>
      </c>
      <c r="S63" t="s">
        <v>171</v>
      </c>
      <c r="T63" s="1">
        <v>450000294</v>
      </c>
      <c r="W63" s="1">
        <v>3186</v>
      </c>
      <c r="X63" s="1" t="s">
        <v>35</v>
      </c>
      <c r="Y63" s="1" t="s">
        <v>32</v>
      </c>
    </row>
    <row r="64" spans="1:25" ht="14.45">
      <c r="A64" s="9">
        <v>46220</v>
      </c>
      <c r="B64" s="9">
        <v>46220</v>
      </c>
      <c r="C64" s="1">
        <f t="shared" si="0"/>
        <v>0</v>
      </c>
      <c r="D64" s="1" t="s">
        <v>36</v>
      </c>
      <c r="E64" s="1" t="s">
        <v>55</v>
      </c>
      <c r="F64" s="3" t="s">
        <v>172</v>
      </c>
      <c r="G64" s="3" t="s">
        <v>28</v>
      </c>
      <c r="H64" s="1" t="s">
        <v>29</v>
      </c>
      <c r="I64" s="1">
        <f>IFERROR(VLOOKUP(H64,SLA_Ref!$A$1:$B$8,2,FALSE),"")</f>
        <v>3</v>
      </c>
      <c r="J64" s="1" t="str">
        <f t="shared" ca="1" si="2"/>
        <v>NO PRAZO</v>
      </c>
      <c r="K64" s="11">
        <f>Tabela2[[#This Row],[SLA
Padrão]]-Tabela2[[#This Row],[SLA Atendimento]]</f>
        <v>3</v>
      </c>
      <c r="L64" s="11"/>
      <c r="M64" s="2">
        <f xml:space="preserve"> 936.18*2+214</f>
        <v>2086.3599999999997</v>
      </c>
      <c r="N64" s="2">
        <f xml:space="preserve"> 936.18*2</f>
        <v>1872.36</v>
      </c>
      <c r="O64" s="1" t="s">
        <v>30</v>
      </c>
      <c r="P64" s="2">
        <f>Tabela2[[#This Row],[Proposta
 Inicial]]-Tabela2[[#This Row],[Proposta
 Negociada]]</f>
        <v>213.99999999999977</v>
      </c>
      <c r="Q64" s="4">
        <f>Tabela2[[#This Row],[Proposta
 Negociada]]/Tabela2[[#This Row],[Proposta
 Inicial]]-1</f>
        <v>-0.10257098487317617</v>
      </c>
      <c r="R64" s="1" t="s">
        <v>57</v>
      </c>
      <c r="S64" t="s">
        <v>173</v>
      </c>
      <c r="T64" s="1">
        <v>450000295</v>
      </c>
      <c r="W64" s="1">
        <v>19798</v>
      </c>
      <c r="X64" s="1" t="s">
        <v>32</v>
      </c>
      <c r="Y64" s="1" t="s">
        <v>35</v>
      </c>
    </row>
    <row r="65" spans="1:25" ht="14.45">
      <c r="A65" s="9">
        <v>46219</v>
      </c>
      <c r="B65" s="9">
        <v>46223</v>
      </c>
      <c r="C65" s="1">
        <f t="shared" si="0"/>
        <v>4</v>
      </c>
      <c r="D65" s="1" t="s">
        <v>36</v>
      </c>
      <c r="E65" s="1" t="s">
        <v>44</v>
      </c>
      <c r="F65" s="3" t="s">
        <v>174</v>
      </c>
      <c r="G65" s="3" t="s">
        <v>175</v>
      </c>
      <c r="H65" s="1" t="s">
        <v>46</v>
      </c>
      <c r="I65" s="1">
        <f>IFERROR(VLOOKUP(H65,SLA_Ref!$A$1:$B$8,2,FALSE),"")</f>
        <v>8</v>
      </c>
      <c r="J65" s="1" t="str">
        <f t="shared" ca="1" si="2"/>
        <v>NO PRAZO</v>
      </c>
      <c r="K65" s="11">
        <f>Tabela2[[#This Row],[SLA
Padrão]]-Tabela2[[#This Row],[SLA Atendimento]]</f>
        <v>4</v>
      </c>
      <c r="L65" s="11"/>
      <c r="M65" s="2">
        <v>1601.5</v>
      </c>
      <c r="N65" s="2">
        <v>1558.8</v>
      </c>
      <c r="O65" s="1" t="s">
        <v>30</v>
      </c>
      <c r="P65" s="2">
        <f>Tabela2[[#This Row],[Proposta
 Inicial]]-Tabela2[[#This Row],[Proposta
 Negociada]]</f>
        <v>42.700000000000045</v>
      </c>
      <c r="Q65" s="4">
        <f>Tabela2[[#This Row],[Proposta
 Negociada]]/Tabela2[[#This Row],[Proposta
 Inicial]]-1</f>
        <v>-2.6662503902591395E-2</v>
      </c>
      <c r="R65" s="1" t="s">
        <v>57</v>
      </c>
      <c r="S65" t="s">
        <v>164</v>
      </c>
      <c r="T65" s="1">
        <v>450000296</v>
      </c>
      <c r="X65" s="1" t="s">
        <v>35</v>
      </c>
      <c r="Y65" s="1" t="s">
        <v>35</v>
      </c>
    </row>
    <row r="66" spans="1:25" ht="14.45">
      <c r="A66" s="9">
        <v>46219</v>
      </c>
      <c r="B66" s="9">
        <v>46223</v>
      </c>
      <c r="C66" s="1">
        <f t="shared" ref="C66:C130" si="3">IF(OR(A66="",B66=""),"",B66-A66)</f>
        <v>4</v>
      </c>
      <c r="D66" s="1" t="s">
        <v>36</v>
      </c>
      <c r="E66" s="1" t="s">
        <v>94</v>
      </c>
      <c r="F66" s="3" t="s">
        <v>45</v>
      </c>
      <c r="G66" s="3" t="s">
        <v>28</v>
      </c>
      <c r="H66" s="1" t="s">
        <v>46</v>
      </c>
      <c r="I66" s="1">
        <f>IFERROR(VLOOKUP(H66,SLA_Ref!$A$1:$B$8,2,FALSE),"")</f>
        <v>8</v>
      </c>
      <c r="J66" s="1" t="str">
        <f t="shared" ca="1" si="2"/>
        <v>NO PRAZO</v>
      </c>
      <c r="K66" s="11">
        <f>Tabela2[[#This Row],[SLA
Padrão]]-Tabela2[[#This Row],[SLA Atendimento]]</f>
        <v>4</v>
      </c>
      <c r="L66" s="11"/>
      <c r="M66" s="2">
        <v>693.35</v>
      </c>
      <c r="N66" s="2">
        <v>673.8</v>
      </c>
      <c r="O66" s="1" t="s">
        <v>30</v>
      </c>
      <c r="P66" s="2">
        <f>Tabela2[[#This Row],[Proposta
 Inicial]]-Tabela2[[#This Row],[Proposta
 Negociada]]</f>
        <v>19.550000000000068</v>
      </c>
      <c r="Q66" s="4">
        <f>Tabela2[[#This Row],[Proposta
 Negociada]]/Tabela2[[#This Row],[Proposta
 Inicial]]-1</f>
        <v>-2.8196437585635059E-2</v>
      </c>
      <c r="R66" s="1" t="s">
        <v>57</v>
      </c>
      <c r="S66" t="s">
        <v>176</v>
      </c>
      <c r="T66" s="1">
        <v>450000298</v>
      </c>
      <c r="W66" s="1">
        <v>215073</v>
      </c>
      <c r="X66" s="1" t="s">
        <v>32</v>
      </c>
      <c r="Y66" s="1" t="s">
        <v>32</v>
      </c>
    </row>
    <row r="67" spans="1:25" ht="14.45">
      <c r="A67" s="9">
        <v>46219</v>
      </c>
      <c r="B67" s="9">
        <v>46223</v>
      </c>
      <c r="C67" s="1">
        <f t="shared" si="3"/>
        <v>4</v>
      </c>
      <c r="D67" s="1" t="s">
        <v>36</v>
      </c>
      <c r="E67" s="1" t="s">
        <v>94</v>
      </c>
      <c r="F67" s="3" t="s">
        <v>177</v>
      </c>
      <c r="G67" s="3" t="s">
        <v>28</v>
      </c>
      <c r="H67" s="1" t="s">
        <v>46</v>
      </c>
      <c r="I67" s="1">
        <f>IFERROR(VLOOKUP(H67,SLA_Ref!$A$1:$B$8,2,FALSE),"")</f>
        <v>8</v>
      </c>
      <c r="J67" s="1" t="str">
        <f t="shared" ca="1" si="2"/>
        <v>NO PRAZO</v>
      </c>
      <c r="K67" s="11">
        <f>Tabela2[[#This Row],[SLA
Padrão]]-Tabela2[[#This Row],[SLA Atendimento]]</f>
        <v>4</v>
      </c>
      <c r="L67" s="11"/>
      <c r="M67" s="2">
        <v>916.6</v>
      </c>
      <c r="N67" s="2">
        <v>916.6</v>
      </c>
      <c r="O67" s="1" t="s">
        <v>30</v>
      </c>
      <c r="P67" s="2">
        <f>Tabela2[[#This Row],[Proposta
 Inicial]]-Tabela2[[#This Row],[Proposta
 Negociada]]</f>
        <v>0</v>
      </c>
      <c r="Q67" s="4">
        <f>Tabela2[[#This Row],[Proposta
 Negociada]]/Tabela2[[#This Row],[Proposta
 Inicial]]-1</f>
        <v>0</v>
      </c>
      <c r="S67" t="s">
        <v>176</v>
      </c>
      <c r="T67" s="1">
        <v>450000299</v>
      </c>
      <c r="X67" s="1" t="s">
        <v>35</v>
      </c>
      <c r="Y67" s="1" t="s">
        <v>35</v>
      </c>
    </row>
    <row r="68" spans="1:25" ht="14.45">
      <c r="A68" s="9">
        <v>46220</v>
      </c>
      <c r="B68" s="9">
        <v>46223</v>
      </c>
      <c r="C68" s="1">
        <f t="shared" si="3"/>
        <v>3</v>
      </c>
      <c r="D68" s="1" t="s">
        <v>36</v>
      </c>
      <c r="E68" s="1" t="s">
        <v>94</v>
      </c>
      <c r="F68" s="3" t="s">
        <v>178</v>
      </c>
      <c r="G68" s="3" t="s">
        <v>28</v>
      </c>
      <c r="H68" s="1" t="s">
        <v>46</v>
      </c>
      <c r="I68" s="1">
        <f>IFERROR(VLOOKUP(H68,SLA_Ref!$A$1:$B$8,2,FALSE),"")</f>
        <v>8</v>
      </c>
      <c r="J68" s="1" t="str">
        <f t="shared" ca="1" si="2"/>
        <v>NO PRAZO</v>
      </c>
      <c r="K68" s="11">
        <f>Tabela2[[#This Row],[SLA
Padrão]]-Tabela2[[#This Row],[SLA Atendimento]]</f>
        <v>5</v>
      </c>
      <c r="L68" s="11"/>
      <c r="M68" s="13">
        <v>2173.37</v>
      </c>
      <c r="N68" s="13">
        <v>2173.37</v>
      </c>
      <c r="O68" s="1" t="s">
        <v>30</v>
      </c>
      <c r="P68" s="2">
        <f>Tabela2[[#This Row],[Proposta
 Inicial]]-Tabela2[[#This Row],[Proposta
 Negociada]]</f>
        <v>0</v>
      </c>
      <c r="Q68" s="4">
        <f>Tabela2[[#This Row],[Proposta
 Negociada]]/Tabela2[[#This Row],[Proposta
 Inicial]]-1</f>
        <v>0</v>
      </c>
      <c r="S68" t="s">
        <v>179</v>
      </c>
      <c r="T68" s="1">
        <v>450000300</v>
      </c>
      <c r="X68" s="1" t="s">
        <v>35</v>
      </c>
      <c r="Y68" s="1" t="s">
        <v>32</v>
      </c>
    </row>
    <row r="69" spans="1:25" ht="14.45">
      <c r="A69" s="9">
        <v>46210</v>
      </c>
      <c r="B69" s="9">
        <v>46223</v>
      </c>
      <c r="C69" s="1">
        <f t="shared" si="3"/>
        <v>13</v>
      </c>
      <c r="D69" s="1" t="s">
        <v>81</v>
      </c>
      <c r="E69" s="1" t="s">
        <v>70</v>
      </c>
      <c r="F69" s="3" t="s">
        <v>180</v>
      </c>
      <c r="G69" s="3" t="s">
        <v>28</v>
      </c>
      <c r="H69" s="1" t="s">
        <v>68</v>
      </c>
      <c r="I69" s="1">
        <f>IFERROR(VLOOKUP(H69,SLA_Ref!$A$1:$B$8,2,FALSE),"")</f>
        <v>15</v>
      </c>
      <c r="J69" s="1" t="str">
        <f t="shared" ca="1" si="2"/>
        <v>NO PRAZO</v>
      </c>
      <c r="K69" s="11">
        <f>Tabela2[[#This Row],[SLA
Padrão]]-Tabela2[[#This Row],[SLA Atendimento]]</f>
        <v>2</v>
      </c>
      <c r="L69" s="11"/>
      <c r="M69" s="2">
        <v>7190</v>
      </c>
      <c r="N69" s="2">
        <v>7050</v>
      </c>
      <c r="O69" s="1" t="s">
        <v>30</v>
      </c>
      <c r="P69" s="2">
        <f>Tabela2[[#This Row],[Proposta
 Inicial]]-Tabela2[[#This Row],[Proposta
 Negociada]]</f>
        <v>140</v>
      </c>
      <c r="Q69" s="4">
        <f>Tabela2[[#This Row],[Proposta
 Negociada]]/Tabela2[[#This Row],[Proposta
 Inicial]]-1</f>
        <v>-1.947148817802502E-2</v>
      </c>
      <c r="R69" s="1" t="s">
        <v>57</v>
      </c>
      <c r="S69" t="s">
        <v>181</v>
      </c>
      <c r="T69" s="1">
        <v>450000301</v>
      </c>
      <c r="X69" s="1" t="s">
        <v>35</v>
      </c>
      <c r="Y69" s="1" t="s">
        <v>35</v>
      </c>
    </row>
    <row r="70" spans="1:25" ht="14.45">
      <c r="A70" s="9">
        <v>46223</v>
      </c>
      <c r="B70" s="9">
        <v>46223</v>
      </c>
      <c r="C70" s="1">
        <f t="shared" si="3"/>
        <v>0</v>
      </c>
      <c r="D70" s="1" t="s">
        <v>36</v>
      </c>
      <c r="E70" s="1" t="s">
        <v>55</v>
      </c>
      <c r="F70" s="3" t="s">
        <v>182</v>
      </c>
      <c r="G70" s="3" t="s">
        <v>28</v>
      </c>
      <c r="H70" s="1" t="s">
        <v>29</v>
      </c>
      <c r="I70" s="1">
        <f>IFERROR(VLOOKUP(H70,SLA_Ref!$A$1:$B$8,2,FALSE),"")</f>
        <v>3</v>
      </c>
      <c r="J70" s="1" t="str">
        <f t="shared" ca="1" si="2"/>
        <v>NO PRAZO</v>
      </c>
      <c r="K70" s="11">
        <f>Tabela2[[#This Row],[SLA
Padrão]]-Tabela2[[#This Row],[SLA Atendimento]]</f>
        <v>3</v>
      </c>
      <c r="L70" s="11"/>
      <c r="M70" s="2">
        <f>225*12</f>
        <v>2700</v>
      </c>
      <c r="N70" s="2">
        <f>200*12</f>
        <v>2400</v>
      </c>
      <c r="O70" s="1" t="s">
        <v>30</v>
      </c>
      <c r="P70" s="2">
        <f>Tabela2[[#This Row],[Proposta
 Inicial]]-Tabela2[[#This Row],[Proposta
 Negociada]]</f>
        <v>300</v>
      </c>
      <c r="Q70" s="4">
        <f>Tabela2[[#This Row],[Proposta
 Negociada]]/Tabela2[[#This Row],[Proposta
 Inicial]]-1</f>
        <v>-0.11111111111111116</v>
      </c>
      <c r="R70" s="1" t="s">
        <v>57</v>
      </c>
      <c r="S70" t="s">
        <v>183</v>
      </c>
      <c r="T70" s="1">
        <v>450000302</v>
      </c>
      <c r="W70" s="1">
        <v>237</v>
      </c>
      <c r="X70" s="1" t="s">
        <v>32</v>
      </c>
      <c r="Y70" s="1" t="s">
        <v>32</v>
      </c>
    </row>
    <row r="71" spans="1:25" ht="14.45">
      <c r="A71" s="9">
        <v>46220</v>
      </c>
      <c r="B71" s="9">
        <v>46223</v>
      </c>
      <c r="C71" s="1">
        <f t="shared" si="3"/>
        <v>3</v>
      </c>
      <c r="D71" s="1" t="s">
        <v>36</v>
      </c>
      <c r="E71" s="1" t="s">
        <v>52</v>
      </c>
      <c r="F71" s="3" t="s">
        <v>118</v>
      </c>
      <c r="G71" s="3" t="s">
        <v>28</v>
      </c>
      <c r="H71" s="1" t="s">
        <v>83</v>
      </c>
      <c r="I71" s="1">
        <f>IFERROR(VLOOKUP(H71,SLA_Ref!$A$1:$B$8,2,FALSE),"")</f>
        <v>5</v>
      </c>
      <c r="J71" s="1" t="str">
        <f t="shared" ca="1" si="2"/>
        <v>NO PRAZO</v>
      </c>
      <c r="K71" s="11">
        <f>Tabela2[[#This Row],[SLA
Padrão]]-Tabela2[[#This Row],[SLA Atendimento]]</f>
        <v>2</v>
      </c>
      <c r="L71" s="11"/>
      <c r="M71" s="2">
        <v>159.5</v>
      </c>
      <c r="N71" s="2">
        <v>90</v>
      </c>
      <c r="O71" s="1" t="s">
        <v>30</v>
      </c>
      <c r="P71" s="2">
        <f>Tabela2[[#This Row],[Proposta
 Inicial]]-Tabela2[[#This Row],[Proposta
 Negociada]]</f>
        <v>69.5</v>
      </c>
      <c r="Q71" s="4">
        <f>Tabela2[[#This Row],[Proposta
 Negociada]]/Tabela2[[#This Row],[Proposta
 Inicial]]-1</f>
        <v>-0.43573667711598751</v>
      </c>
      <c r="R71" s="1" t="s">
        <v>57</v>
      </c>
      <c r="S71" t="s">
        <v>184</v>
      </c>
      <c r="T71" s="1">
        <v>450000303</v>
      </c>
      <c r="X71" s="1" t="s">
        <v>35</v>
      </c>
      <c r="Y71" s="1" t="s">
        <v>35</v>
      </c>
    </row>
    <row r="72" spans="1:25">
      <c r="A72" s="9">
        <v>46223</v>
      </c>
      <c r="B72" s="9">
        <v>46223</v>
      </c>
      <c r="C72" s="1">
        <f t="shared" si="3"/>
        <v>0</v>
      </c>
      <c r="D72" s="1" t="s">
        <v>36</v>
      </c>
      <c r="E72" s="1" t="s">
        <v>70</v>
      </c>
      <c r="F72" s="3" t="s">
        <v>185</v>
      </c>
      <c r="G72" s="3" t="s">
        <v>28</v>
      </c>
      <c r="H72" s="1" t="s">
        <v>29</v>
      </c>
      <c r="I72" s="1">
        <f>IFERROR(VLOOKUP(H72,SLA_Ref!$A$1:$B$8,2,FALSE),"")</f>
        <v>3</v>
      </c>
      <c r="J72" s="1" t="str">
        <f t="shared" ca="1" si="2"/>
        <v>NO PRAZO</v>
      </c>
      <c r="K72" s="11">
        <f>Tabela2[[#This Row],[SLA
Padrão]]-Tabela2[[#This Row],[SLA Atendimento]]</f>
        <v>3</v>
      </c>
      <c r="L72" s="11"/>
      <c r="M72" s="2">
        <f>850*6</f>
        <v>5100</v>
      </c>
      <c r="N72" s="2">
        <f>850*6</f>
        <v>5100</v>
      </c>
      <c r="O72" s="1" t="s">
        <v>30</v>
      </c>
      <c r="P72" s="2">
        <f>Tabela2[[#This Row],[Proposta
 Inicial]]-Tabela2[[#This Row],[Proposta
 Negociada]]</f>
        <v>0</v>
      </c>
      <c r="Q72" s="4">
        <f>Tabela2[[#This Row],[Proposta
 Negociada]]/Tabela2[[#This Row],[Proposta
 Inicial]]-1</f>
        <v>0</v>
      </c>
      <c r="S72" t="s">
        <v>186</v>
      </c>
      <c r="T72" s="1">
        <v>450000304</v>
      </c>
      <c r="W72" s="81">
        <v>50441</v>
      </c>
      <c r="X72" s="1" t="s">
        <v>32</v>
      </c>
      <c r="Y72" s="1" t="s">
        <v>35</v>
      </c>
    </row>
    <row r="73" spans="1:25" ht="14.45">
      <c r="A73" s="9">
        <v>46220</v>
      </c>
      <c r="B73" s="9">
        <v>46223</v>
      </c>
      <c r="C73" s="1">
        <f t="shared" si="3"/>
        <v>3</v>
      </c>
      <c r="D73" s="1" t="s">
        <v>36</v>
      </c>
      <c r="E73" s="1" t="s">
        <v>94</v>
      </c>
      <c r="F73" s="3" t="s">
        <v>45</v>
      </c>
      <c r="G73" s="3" t="s">
        <v>28</v>
      </c>
      <c r="H73" s="1" t="s">
        <v>46</v>
      </c>
      <c r="I73" s="1">
        <f>IFERROR(VLOOKUP(H73,SLA_Ref!$A$1:$B$8,2,FALSE),"")</f>
        <v>8</v>
      </c>
      <c r="J73" s="1" t="str">
        <f t="shared" ca="1" si="2"/>
        <v>NO PRAZO</v>
      </c>
      <c r="K73" s="11">
        <f>Tabela2[[#This Row],[SLA
Padrão]]-Tabela2[[#This Row],[SLA Atendimento]]</f>
        <v>5</v>
      </c>
      <c r="L73" s="11"/>
      <c r="M73" s="2">
        <v>87</v>
      </c>
      <c r="N73" s="2">
        <v>80.900000000000006</v>
      </c>
      <c r="O73" s="1" t="s">
        <v>30</v>
      </c>
      <c r="P73" s="2">
        <f>Tabela2[[#This Row],[Proposta
 Inicial]]-Tabela2[[#This Row],[Proposta
 Negociada]]</f>
        <v>6.0999999999999943</v>
      </c>
      <c r="Q73" s="4">
        <f>Tabela2[[#This Row],[Proposta
 Negociada]]/Tabela2[[#This Row],[Proposta
 Inicial]]-1</f>
        <v>-7.0114942528735513E-2</v>
      </c>
      <c r="R73" s="1" t="s">
        <v>57</v>
      </c>
      <c r="S73" t="s">
        <v>187</v>
      </c>
      <c r="T73" s="1">
        <v>450000306</v>
      </c>
      <c r="W73" s="1">
        <v>215164</v>
      </c>
      <c r="X73" s="1" t="s">
        <v>32</v>
      </c>
      <c r="Y73" s="1" t="s">
        <v>32</v>
      </c>
    </row>
    <row r="74" spans="1:25" ht="14.45">
      <c r="A74" s="9">
        <v>46220</v>
      </c>
      <c r="B74" s="9">
        <v>46223</v>
      </c>
      <c r="C74" s="1">
        <f t="shared" si="3"/>
        <v>3</v>
      </c>
      <c r="D74" s="1" t="s">
        <v>36</v>
      </c>
      <c r="E74" s="1" t="s">
        <v>94</v>
      </c>
      <c r="F74" s="3" t="s">
        <v>45</v>
      </c>
      <c r="G74" s="3" t="s">
        <v>28</v>
      </c>
      <c r="H74" s="1" t="s">
        <v>46</v>
      </c>
      <c r="I74" s="1">
        <f>IFERROR(VLOOKUP(H74,SLA_Ref!$A$1:$B$8,2,FALSE),"")</f>
        <v>8</v>
      </c>
      <c r="J74" s="1" t="str">
        <f t="shared" ca="1" si="2"/>
        <v>NO PRAZO</v>
      </c>
      <c r="K74" s="11">
        <f>Tabela2[[#This Row],[SLA
Padrão]]-Tabela2[[#This Row],[SLA Atendimento]]</f>
        <v>5</v>
      </c>
      <c r="L74" s="11"/>
      <c r="M74" s="2">
        <f>682.12+149.9</f>
        <v>832.02</v>
      </c>
      <c r="N74" s="2">
        <v>682.12</v>
      </c>
      <c r="O74" s="1" t="s">
        <v>30</v>
      </c>
      <c r="P74" s="2">
        <f>Tabela2[[#This Row],[Proposta
 Inicial]]-Tabela2[[#This Row],[Proposta
 Negociada]]</f>
        <v>149.89999999999998</v>
      </c>
      <c r="Q74" s="4">
        <f>Tabela2[[#This Row],[Proposta
 Negociada]]/Tabela2[[#This Row],[Proposta
 Inicial]]-1</f>
        <v>-0.18016393836686617</v>
      </c>
      <c r="R74" s="1" t="s">
        <v>57</v>
      </c>
      <c r="S74" t="s">
        <v>188</v>
      </c>
      <c r="T74" s="1">
        <v>450000307</v>
      </c>
      <c r="X74" s="1" t="s">
        <v>35</v>
      </c>
      <c r="Y74" s="1" t="s">
        <v>32</v>
      </c>
    </row>
    <row r="75" spans="1:25" ht="14.45">
      <c r="A75" s="9">
        <v>46223</v>
      </c>
      <c r="B75" s="9">
        <v>46224</v>
      </c>
      <c r="C75" s="1">
        <f t="shared" si="3"/>
        <v>1</v>
      </c>
      <c r="D75" s="1" t="s">
        <v>36</v>
      </c>
      <c r="E75" s="1" t="s">
        <v>94</v>
      </c>
      <c r="F75" s="3" t="s">
        <v>189</v>
      </c>
      <c r="G75" s="3" t="s">
        <v>28</v>
      </c>
      <c r="H75" s="1" t="s">
        <v>68</v>
      </c>
      <c r="I75" s="1">
        <f>IFERROR(VLOOKUP(H75,SLA_Ref!$A$1:$B$8,2,FALSE),"")</f>
        <v>15</v>
      </c>
      <c r="J75" s="1" t="str">
        <f t="shared" ca="1" si="2"/>
        <v>NO PRAZO</v>
      </c>
      <c r="K75" s="11">
        <f>Tabela2[[#This Row],[SLA
Padrão]]-Tabela2[[#This Row],[SLA Atendimento]]</f>
        <v>14</v>
      </c>
      <c r="L75" s="11"/>
      <c r="M75" s="2">
        <v>3454.5</v>
      </c>
      <c r="N75" s="2">
        <v>3352.2</v>
      </c>
      <c r="O75" s="1" t="s">
        <v>30</v>
      </c>
      <c r="P75" s="2">
        <f>Tabela2[[#This Row],[Proposta
 Inicial]]-Tabela2[[#This Row],[Proposta
 Negociada]]</f>
        <v>102.30000000000018</v>
      </c>
      <c r="Q75" s="4">
        <f>Tabela2[[#This Row],[Proposta
 Negociada]]/Tabela2[[#This Row],[Proposta
 Inicial]]-1</f>
        <v>-2.9613547546678332E-2</v>
      </c>
      <c r="R75" s="1" t="s">
        <v>57</v>
      </c>
      <c r="S75" t="s">
        <v>190</v>
      </c>
      <c r="T75" s="1">
        <v>450000309</v>
      </c>
      <c r="X75" s="1" t="s">
        <v>35</v>
      </c>
      <c r="Y75" s="1" t="s">
        <v>32</v>
      </c>
    </row>
    <row r="76" spans="1:25" ht="14.45">
      <c r="A76" s="9">
        <v>46224</v>
      </c>
      <c r="B76" s="9">
        <v>46225</v>
      </c>
      <c r="C76" s="1">
        <f t="shared" si="3"/>
        <v>1</v>
      </c>
      <c r="D76" s="1" t="s">
        <v>36</v>
      </c>
      <c r="E76" s="1" t="s">
        <v>94</v>
      </c>
      <c r="F76" s="3" t="s">
        <v>191</v>
      </c>
      <c r="G76" s="3" t="s">
        <v>28</v>
      </c>
      <c r="H76" s="1" t="s">
        <v>68</v>
      </c>
      <c r="I76" s="1">
        <f>IFERROR(VLOOKUP(H76,SLA_Ref!$A$1:$B$8,2,FALSE),"")</f>
        <v>15</v>
      </c>
      <c r="J76" s="1" t="str">
        <f t="shared" ca="1" si="2"/>
        <v>NO PRAZO</v>
      </c>
      <c r="K76" s="11">
        <f>Tabela2[[#This Row],[SLA
Padrão]]-Tabela2[[#This Row],[SLA Atendimento]]</f>
        <v>14</v>
      </c>
      <c r="L76" s="11"/>
      <c r="M76" s="2">
        <v>224.75</v>
      </c>
      <c r="N76" s="2">
        <v>224.75</v>
      </c>
      <c r="O76" s="1" t="s">
        <v>30</v>
      </c>
      <c r="P76" s="2">
        <f>Tabela2[[#This Row],[Proposta
 Inicial]]-Tabela2[[#This Row],[Proposta
 Negociada]]</f>
        <v>0</v>
      </c>
      <c r="Q76" s="4">
        <f>Tabela2[[#This Row],[Proposta
 Negociada]]/Tabela2[[#This Row],[Proposta
 Inicial]]-1</f>
        <v>0</v>
      </c>
      <c r="S76" t="s">
        <v>190</v>
      </c>
      <c r="T76" s="1">
        <v>450000315</v>
      </c>
      <c r="X76" s="1" t="s">
        <v>35</v>
      </c>
      <c r="Y76" s="1" t="s">
        <v>32</v>
      </c>
    </row>
    <row r="77" spans="1:25" ht="14.45" customHeight="1">
      <c r="A77" s="9">
        <v>46206</v>
      </c>
      <c r="B77" s="9">
        <v>46226</v>
      </c>
      <c r="C77" s="1">
        <f t="shared" si="3"/>
        <v>20</v>
      </c>
      <c r="D77" s="1" t="s">
        <v>81</v>
      </c>
      <c r="E77" s="1" t="s">
        <v>70</v>
      </c>
      <c r="F77" s="3" t="s">
        <v>192</v>
      </c>
      <c r="G77" s="3" t="s">
        <v>28</v>
      </c>
      <c r="H77" s="1" t="s">
        <v>46</v>
      </c>
      <c r="I77" s="1">
        <f>IFERROR(VLOOKUP(H77,SLA_Ref!$A$1:$B$8,2,FALSE),"")</f>
        <v>8</v>
      </c>
      <c r="J77" s="1" t="str">
        <f t="shared" ca="1" si="2"/>
        <v>ATRASADA</v>
      </c>
      <c r="K77" s="11">
        <f>Tabela2[[#This Row],[SLA
Padrão]]-Tabela2[[#This Row],[SLA Atendimento]]</f>
        <v>-12</v>
      </c>
      <c r="L77" s="11"/>
      <c r="M77" s="2">
        <v>2630</v>
      </c>
      <c r="N77" s="2">
        <v>2630</v>
      </c>
      <c r="O77" s="1" t="s">
        <v>30</v>
      </c>
      <c r="P77" s="2">
        <f>Tabela2[[#This Row],[Proposta
 Inicial]]-Tabela2[[#This Row],[Proposta
 Negociada]]</f>
        <v>0</v>
      </c>
      <c r="Q77" s="4">
        <f>Tabela2[[#This Row],[Proposta
 Negociada]]/Tabela2[[#This Row],[Proposta
 Inicial]]-1</f>
        <v>0</v>
      </c>
      <c r="S77" t="s">
        <v>193</v>
      </c>
      <c r="T77" s="76">
        <v>450000317</v>
      </c>
      <c r="X77" s="1" t="s">
        <v>35</v>
      </c>
      <c r="Y77" s="1" t="s">
        <v>35</v>
      </c>
    </row>
    <row r="78" spans="1:25" ht="14.45">
      <c r="A78" s="9">
        <v>46225</v>
      </c>
      <c r="B78" s="9">
        <v>46226</v>
      </c>
      <c r="C78" s="1">
        <f t="shared" si="3"/>
        <v>1</v>
      </c>
      <c r="D78" s="1" t="s">
        <v>81</v>
      </c>
      <c r="E78" s="1" t="s">
        <v>70</v>
      </c>
      <c r="F78" s="3" t="s">
        <v>192</v>
      </c>
      <c r="G78" s="3" t="s">
        <v>28</v>
      </c>
      <c r="H78" s="1" t="s">
        <v>46</v>
      </c>
      <c r="I78" s="1">
        <f>IFERROR(VLOOKUP(H78,SLA_Ref!$A$1:$B$8,2,FALSE),"")</f>
        <v>8</v>
      </c>
      <c r="J78" s="1" t="str">
        <f t="shared" ca="1" si="2"/>
        <v>NO PRAZO</v>
      </c>
      <c r="K78" s="11">
        <f>Tabela2[[#This Row],[SLA
Padrão]]-Tabela2[[#This Row],[SLA Atendimento]]</f>
        <v>7</v>
      </c>
      <c r="L78" s="11"/>
      <c r="M78" s="2">
        <v>8772.99</v>
      </c>
      <c r="N78" s="2">
        <v>8772.99</v>
      </c>
      <c r="O78" s="1" t="s">
        <v>30</v>
      </c>
      <c r="P78" s="2">
        <f>Tabela2[[#This Row],[Proposta
 Inicial]]-Tabela2[[#This Row],[Proposta
 Negociada]]</f>
        <v>0</v>
      </c>
      <c r="Q78" s="4">
        <f>Tabela2[[#This Row],[Proposta
 Negociada]]/Tabela2[[#This Row],[Proposta
 Inicial]]-1</f>
        <v>0</v>
      </c>
      <c r="S78" t="s">
        <v>194</v>
      </c>
      <c r="T78" s="1">
        <v>450000317</v>
      </c>
      <c r="X78" s="1" t="s">
        <v>35</v>
      </c>
      <c r="Y78" s="1" t="s">
        <v>35</v>
      </c>
    </row>
    <row r="79" spans="1:25" ht="14.45">
      <c r="A79" s="9">
        <v>46205</v>
      </c>
      <c r="B79" s="9">
        <v>46226</v>
      </c>
      <c r="C79" s="1">
        <f t="shared" si="3"/>
        <v>21</v>
      </c>
      <c r="D79" s="1" t="s">
        <v>81</v>
      </c>
      <c r="E79" s="1" t="s">
        <v>70</v>
      </c>
      <c r="F79" s="3" t="s">
        <v>192</v>
      </c>
      <c r="G79" s="3" t="s">
        <v>28</v>
      </c>
      <c r="H79" s="1" t="s">
        <v>46</v>
      </c>
      <c r="I79" s="1">
        <f>IFERROR(VLOOKUP(H79,SLA_Ref!$A$1:$B$8,2,FALSE),"")</f>
        <v>8</v>
      </c>
      <c r="J79" s="1" t="str">
        <f t="shared" ca="1" si="2"/>
        <v>ATRASADA</v>
      </c>
      <c r="K79" s="11">
        <f>Tabela2[[#This Row],[SLA
Padrão]]-Tabela2[[#This Row],[SLA Atendimento]]</f>
        <v>-13</v>
      </c>
      <c r="L79" s="11"/>
      <c r="M79" s="2">
        <v>43517.04</v>
      </c>
      <c r="N79" s="2">
        <v>41335.379999999997</v>
      </c>
      <c r="O79" s="1" t="s">
        <v>30</v>
      </c>
      <c r="P79" s="2">
        <f>Tabela2[[#This Row],[Proposta
 Inicial]]-Tabela2[[#This Row],[Proposta
 Negociada]]</f>
        <v>2181.6600000000035</v>
      </c>
      <c r="Q79" s="4">
        <f>Tabela2[[#This Row],[Proposta
 Negociada]]/Tabela2[[#This Row],[Proposta
 Inicial]]-1</f>
        <v>-5.0133464959932983E-2</v>
      </c>
      <c r="R79" s="1" t="s">
        <v>57</v>
      </c>
      <c r="S79" t="s">
        <v>195</v>
      </c>
      <c r="T79" s="1">
        <v>450000317</v>
      </c>
      <c r="X79" s="1" t="s">
        <v>35</v>
      </c>
      <c r="Y79" s="1" t="s">
        <v>35</v>
      </c>
    </row>
    <row r="80" spans="1:25" ht="14.45">
      <c r="A80" s="9">
        <v>46225</v>
      </c>
      <c r="B80" s="9">
        <v>46225</v>
      </c>
      <c r="C80" s="1">
        <f t="shared" si="3"/>
        <v>0</v>
      </c>
      <c r="D80" s="1" t="s">
        <v>36</v>
      </c>
      <c r="E80" s="1" t="s">
        <v>61</v>
      </c>
      <c r="F80" s="3" t="s">
        <v>196</v>
      </c>
      <c r="G80" s="3" t="s">
        <v>28</v>
      </c>
      <c r="H80" s="1" t="s">
        <v>46</v>
      </c>
      <c r="I80" s="1">
        <f>IFERROR(VLOOKUP(H80,SLA_Ref!$A$1:$B$8,2,FALSE),"")</f>
        <v>8</v>
      </c>
      <c r="J80" s="1" t="str">
        <f t="shared" ca="1" si="2"/>
        <v>NO PRAZO</v>
      </c>
      <c r="K80" s="11">
        <f>Tabela2[[#This Row],[SLA
Padrão]]-Tabela2[[#This Row],[SLA Atendimento]]</f>
        <v>8</v>
      </c>
      <c r="L80" s="11"/>
      <c r="M80" s="2">
        <v>653.98</v>
      </c>
      <c r="N80" s="2">
        <v>653.98</v>
      </c>
      <c r="O80" s="1" t="s">
        <v>30</v>
      </c>
      <c r="P80" s="2">
        <f>Tabela2[[#This Row],[Proposta
 Inicial]]-Tabela2[[#This Row],[Proposta
 Negociada]]</f>
        <v>0</v>
      </c>
      <c r="Q80" s="4">
        <f>Tabela2[[#This Row],[Proposta
 Negociada]]/Tabela2[[#This Row],[Proposta
 Inicial]]-1</f>
        <v>0</v>
      </c>
      <c r="S80" t="s">
        <v>197</v>
      </c>
      <c r="T80" s="1">
        <v>450000318</v>
      </c>
      <c r="X80" s="1" t="s">
        <v>35</v>
      </c>
      <c r="Y80" s="1" t="s">
        <v>35</v>
      </c>
    </row>
    <row r="81" spans="1:25" ht="14.45">
      <c r="A81" s="9">
        <v>46227</v>
      </c>
      <c r="B81" s="9">
        <v>46227</v>
      </c>
      <c r="C81" s="1">
        <f t="shared" si="3"/>
        <v>0</v>
      </c>
      <c r="D81" s="1" t="s">
        <v>36</v>
      </c>
      <c r="E81" s="1" t="s">
        <v>70</v>
      </c>
      <c r="F81" s="3" t="s">
        <v>59</v>
      </c>
      <c r="G81" s="3" t="s">
        <v>28</v>
      </c>
      <c r="H81" s="1" t="s">
        <v>29</v>
      </c>
      <c r="I81" s="1">
        <f>IFERROR(VLOOKUP(H81,SLA_Ref!$A$1:$B$8,2,FALSE),"")</f>
        <v>3</v>
      </c>
      <c r="J81" s="1" t="str">
        <f t="shared" ca="1" si="2"/>
        <v>NO PRAZO</v>
      </c>
      <c r="K81" s="11">
        <f>Tabela2[[#This Row],[SLA
Padrão]]-Tabela2[[#This Row],[SLA Atendimento]]</f>
        <v>3</v>
      </c>
      <c r="L81" s="11"/>
      <c r="M81" s="2">
        <v>230</v>
      </c>
      <c r="N81" s="2">
        <v>184</v>
      </c>
      <c r="O81" s="1" t="s">
        <v>30</v>
      </c>
      <c r="P81" s="2">
        <f>Tabela2[[#This Row],[Proposta
 Inicial]]-Tabela2[[#This Row],[Proposta
 Negociada]]</f>
        <v>46</v>
      </c>
      <c r="Q81" s="4">
        <f>Tabela2[[#This Row],[Proposta
 Negociada]]/Tabela2[[#This Row],[Proposta
 Inicial]]-1</f>
        <v>-0.19999999999999996</v>
      </c>
      <c r="S81" t="s">
        <v>122</v>
      </c>
      <c r="T81" s="1">
        <v>450000325</v>
      </c>
      <c r="W81" s="1">
        <v>2018</v>
      </c>
      <c r="X81" s="1" t="s">
        <v>32</v>
      </c>
      <c r="Y81" s="1" t="s">
        <v>32</v>
      </c>
    </row>
    <row r="82" spans="1:25" ht="14.45">
      <c r="A82" s="9">
        <v>46230</v>
      </c>
      <c r="B82" s="9">
        <v>46230</v>
      </c>
      <c r="C82" s="1">
        <f t="shared" si="3"/>
        <v>0</v>
      </c>
      <c r="D82" s="1" t="s">
        <v>36</v>
      </c>
      <c r="E82" s="1" t="s">
        <v>94</v>
      </c>
      <c r="F82" s="3" t="s">
        <v>95</v>
      </c>
      <c r="G82" s="3" t="s">
        <v>28</v>
      </c>
      <c r="H82" s="1" t="s">
        <v>46</v>
      </c>
      <c r="I82" s="1">
        <f>IFERROR(VLOOKUP(H82,SLA_Ref!$A$1:$B$8,2,FALSE),"")</f>
        <v>8</v>
      </c>
      <c r="J82" s="1" t="str">
        <f t="shared" ca="1" si="2"/>
        <v>NO PRAZO</v>
      </c>
      <c r="K82" s="11">
        <f>Tabela2[[#This Row],[SLA
Padrão]]-Tabela2[[#This Row],[SLA Atendimento]]</f>
        <v>8</v>
      </c>
      <c r="L82" s="11"/>
      <c r="M82" s="2">
        <f>266.9*7</f>
        <v>1868.2999999999997</v>
      </c>
      <c r="N82" s="2">
        <v>1793.61</v>
      </c>
      <c r="O82" s="1" t="s">
        <v>30</v>
      </c>
      <c r="P82" s="2">
        <f>Tabela2[[#This Row],[Proposta
 Inicial]]-Tabela2[[#This Row],[Proposta
 Negociada]]</f>
        <v>74.689999999999827</v>
      </c>
      <c r="Q82" s="4">
        <f>Tabela2[[#This Row],[Proposta
 Negociada]]/Tabela2[[#This Row],[Proposta
 Inicial]]-1</f>
        <v>-3.9977519670288397E-2</v>
      </c>
      <c r="R82" s="1" t="s">
        <v>57</v>
      </c>
      <c r="S82" t="s">
        <v>198</v>
      </c>
      <c r="T82" s="1">
        <v>450000333</v>
      </c>
      <c r="X82" s="1" t="s">
        <v>35</v>
      </c>
      <c r="Y82" s="1" t="s">
        <v>35</v>
      </c>
    </row>
    <row r="83" spans="1:25" ht="14.45">
      <c r="A83" s="9">
        <v>46215</v>
      </c>
      <c r="B83" s="9">
        <v>46219</v>
      </c>
      <c r="C83" s="1">
        <f t="shared" si="3"/>
        <v>4</v>
      </c>
      <c r="D83" s="1" t="s">
        <v>25</v>
      </c>
      <c r="E83" s="1" t="s">
        <v>70</v>
      </c>
      <c r="F83" s="3" t="s">
        <v>152</v>
      </c>
      <c r="G83" s="3" t="s">
        <v>28</v>
      </c>
      <c r="H83" s="1" t="s">
        <v>46</v>
      </c>
      <c r="I83" s="1">
        <f>IFERROR(VLOOKUP(H83,SLA_Ref!$A$1:$B$8,2,FALSE),"")</f>
        <v>8</v>
      </c>
      <c r="J83" s="1" t="str">
        <f t="shared" ca="1" si="2"/>
        <v>NO PRAZO</v>
      </c>
      <c r="K83" s="11">
        <f>Tabela2[[#This Row],[SLA
Padrão]]-Tabela2[[#This Row],[SLA Atendimento]]</f>
        <v>4</v>
      </c>
      <c r="L83" s="11"/>
      <c r="M83" s="2">
        <v>600</v>
      </c>
      <c r="N83" s="2">
        <v>580</v>
      </c>
      <c r="O83" s="1" t="s">
        <v>30</v>
      </c>
      <c r="P83" s="2">
        <f>Tabela2[[#This Row],[Proposta
 Inicial]]-Tabela2[[#This Row],[Proposta
 Negociada]]</f>
        <v>20</v>
      </c>
      <c r="Q83" s="4">
        <f>Tabela2[[#This Row],[Proposta
 Negociada]]/Tabela2[[#This Row],[Proposta
 Inicial]]-1</f>
        <v>-3.3333333333333326E-2</v>
      </c>
      <c r="S83" t="s">
        <v>199</v>
      </c>
      <c r="T83" s="1">
        <v>450000283</v>
      </c>
      <c r="W83" s="1">
        <v>1182</v>
      </c>
      <c r="X83" s="1" t="s">
        <v>32</v>
      </c>
      <c r="Y83" s="1" t="s">
        <v>32</v>
      </c>
    </row>
    <row r="84" spans="1:25" ht="14.45">
      <c r="A84" s="9">
        <v>46220</v>
      </c>
      <c r="B84" s="9">
        <v>46219</v>
      </c>
      <c r="C84" s="1">
        <f t="shared" si="3"/>
        <v>-1</v>
      </c>
      <c r="D84" s="1" t="s">
        <v>25</v>
      </c>
      <c r="E84" s="1" t="s">
        <v>120</v>
      </c>
      <c r="F84" s="3" t="s">
        <v>200</v>
      </c>
      <c r="G84" s="3" t="s">
        <v>28</v>
      </c>
      <c r="H84" s="1" t="s">
        <v>29</v>
      </c>
      <c r="I84" s="1">
        <f>IFERROR(VLOOKUP(H84,SLA_Ref!$A$1:$B$8,2,FALSE),"")</f>
        <v>3</v>
      </c>
      <c r="J84" s="1" t="str">
        <f t="shared" ca="1" si="2"/>
        <v>NO PRAZO</v>
      </c>
      <c r="K84" s="11">
        <f>Tabela2[[#This Row],[SLA
Padrão]]-Tabela2[[#This Row],[SLA Atendimento]]</f>
        <v>4</v>
      </c>
      <c r="L84" s="11"/>
      <c r="M84" s="2">
        <v>119.6</v>
      </c>
      <c r="N84" s="2">
        <v>119.6</v>
      </c>
      <c r="O84" s="1" t="s">
        <v>30</v>
      </c>
      <c r="P84" s="2">
        <f>Tabela2[[#This Row],[Proposta
 Inicial]]-Tabela2[[#This Row],[Proposta
 Negociada]]</f>
        <v>0</v>
      </c>
      <c r="Q84" s="4">
        <f>Tabela2[[#This Row],[Proposta
 Negociada]]/Tabela2[[#This Row],[Proposta
 Inicial]]-1</f>
        <v>0</v>
      </c>
      <c r="S84" t="s">
        <v>201</v>
      </c>
      <c r="T84" s="1">
        <v>450000284</v>
      </c>
      <c r="W84" s="1">
        <v>1220</v>
      </c>
      <c r="X84" s="1" t="s">
        <v>32</v>
      </c>
      <c r="Y84" s="1" t="s">
        <v>32</v>
      </c>
    </row>
    <row r="85" spans="1:25" ht="14.45">
      <c r="A85" s="9">
        <v>46219</v>
      </c>
      <c r="B85" s="9">
        <v>46219</v>
      </c>
      <c r="C85" s="1">
        <f t="shared" si="3"/>
        <v>0</v>
      </c>
      <c r="D85" s="1" t="s">
        <v>25</v>
      </c>
      <c r="E85" s="1" t="s">
        <v>70</v>
      </c>
      <c r="F85" s="3" t="s">
        <v>202</v>
      </c>
      <c r="G85" s="3" t="s">
        <v>28</v>
      </c>
      <c r="H85" s="1" t="s">
        <v>29</v>
      </c>
      <c r="I85" s="1">
        <f>IFERROR(VLOOKUP(H85,SLA_Ref!$A$1:$B$8,2,FALSE),"")</f>
        <v>3</v>
      </c>
      <c r="J85" s="1" t="str">
        <f t="shared" ca="1" si="2"/>
        <v>NO PRAZO</v>
      </c>
      <c r="K85" s="11">
        <f>Tabela2[[#This Row],[SLA
Padrão]]-Tabela2[[#This Row],[SLA Atendimento]]</f>
        <v>3</v>
      </c>
      <c r="L85" s="11"/>
      <c r="M85" s="2">
        <v>149.80000000000001</v>
      </c>
      <c r="N85" s="2">
        <v>149.80000000000001</v>
      </c>
      <c r="O85" s="1" t="s">
        <v>30</v>
      </c>
      <c r="P85" s="2">
        <f>Tabela2[[#This Row],[Proposta
 Inicial]]-Tabela2[[#This Row],[Proposta
 Negociada]]</f>
        <v>0</v>
      </c>
      <c r="Q85" s="4">
        <f>Tabela2[[#This Row],[Proposta
 Negociada]]/Tabela2[[#This Row],[Proposta
 Inicial]]-1</f>
        <v>0</v>
      </c>
      <c r="S85" t="s">
        <v>203</v>
      </c>
      <c r="T85" s="1">
        <v>450000285</v>
      </c>
      <c r="W85" s="1">
        <v>1370</v>
      </c>
      <c r="X85" s="1" t="s">
        <v>32</v>
      </c>
      <c r="Y85" s="1" t="s">
        <v>35</v>
      </c>
    </row>
    <row r="86" spans="1:25" ht="14.45">
      <c r="A86" s="9">
        <v>46219</v>
      </c>
      <c r="B86" s="9">
        <v>46223</v>
      </c>
      <c r="C86" s="1">
        <f t="shared" si="3"/>
        <v>4</v>
      </c>
      <c r="D86" s="1" t="s">
        <v>25</v>
      </c>
      <c r="E86" s="1" t="s">
        <v>70</v>
      </c>
      <c r="F86" s="3" t="s">
        <v>204</v>
      </c>
      <c r="G86" s="3" t="s">
        <v>28</v>
      </c>
      <c r="H86" s="1" t="s">
        <v>29</v>
      </c>
      <c r="I86" s="1">
        <f>IFERROR(VLOOKUP(H86,SLA_Ref!$A$1:$B$8,2,FALSE),"")</f>
        <v>3</v>
      </c>
      <c r="J86" s="1" t="str">
        <f t="shared" ca="1" si="2"/>
        <v>ATRASADA</v>
      </c>
      <c r="K86" s="80">
        <f>Tabela2[[#This Row],[SLA
Padrão]]-Tabela2[[#This Row],[SLA Atendimento]]</f>
        <v>-1</v>
      </c>
      <c r="L86" s="11"/>
      <c r="M86" s="2">
        <v>535.77</v>
      </c>
      <c r="N86" s="2">
        <v>535.77</v>
      </c>
      <c r="O86" s="1" t="s">
        <v>30</v>
      </c>
      <c r="P86" s="2">
        <f>Tabela2[[#This Row],[Proposta
 Inicial]]-Tabela2[[#This Row],[Proposta
 Negociada]]</f>
        <v>0</v>
      </c>
      <c r="Q86" s="4">
        <f>Tabela2[[#This Row],[Proposta
 Negociada]]/Tabela2[[#This Row],[Proposta
 Inicial]]-1</f>
        <v>0</v>
      </c>
      <c r="S86" t="s">
        <v>205</v>
      </c>
      <c r="T86" s="1">
        <v>450000286</v>
      </c>
      <c r="W86" s="1">
        <v>137236</v>
      </c>
      <c r="X86" s="1" t="s">
        <v>32</v>
      </c>
      <c r="Y86" s="1" t="s">
        <v>35</v>
      </c>
    </row>
    <row r="87" spans="1:25" ht="14.45">
      <c r="A87" s="9">
        <v>46219</v>
      </c>
      <c r="B87" s="9">
        <v>46223</v>
      </c>
      <c r="C87" s="1">
        <f t="shared" si="3"/>
        <v>4</v>
      </c>
      <c r="D87" s="1" t="s">
        <v>25</v>
      </c>
      <c r="E87" s="1" t="s">
        <v>44</v>
      </c>
      <c r="F87" s="3" t="s">
        <v>206</v>
      </c>
      <c r="G87" s="3" t="s">
        <v>28</v>
      </c>
      <c r="H87" s="1" t="s">
        <v>83</v>
      </c>
      <c r="I87" s="1">
        <f>IFERROR(VLOOKUP(H87,SLA_Ref!$A$1:$B$8,2,FALSE),"")</f>
        <v>5</v>
      </c>
      <c r="J87" s="1" t="str">
        <f t="shared" ca="1" si="2"/>
        <v>NO PRAZO</v>
      </c>
      <c r="K87" s="11">
        <f>Tabela2[[#This Row],[SLA
Padrão]]-Tabela2[[#This Row],[SLA Atendimento]]</f>
        <v>1</v>
      </c>
      <c r="L87" s="11"/>
      <c r="M87" s="2">
        <v>8098.33</v>
      </c>
      <c r="N87" s="2">
        <v>8098.33</v>
      </c>
      <c r="O87" s="1" t="s">
        <v>30</v>
      </c>
      <c r="P87" s="2">
        <f>Tabela2[[#This Row],[Proposta
 Inicial]]-Tabela2[[#This Row],[Proposta
 Negociada]]</f>
        <v>0</v>
      </c>
      <c r="Q87" s="4">
        <f>Tabela2[[#This Row],[Proposta
 Negociada]]/Tabela2[[#This Row],[Proposta
 Inicial]]-1</f>
        <v>0</v>
      </c>
      <c r="S87" t="s">
        <v>207</v>
      </c>
      <c r="T87" s="1">
        <v>450000287</v>
      </c>
      <c r="X87" s="1" t="s">
        <v>32</v>
      </c>
      <c r="Y87" s="1" t="s">
        <v>35</v>
      </c>
    </row>
    <row r="88" spans="1:25" ht="14.45">
      <c r="A88" s="9">
        <v>46219</v>
      </c>
      <c r="B88" s="9">
        <v>46230</v>
      </c>
      <c r="C88" s="1">
        <f t="shared" si="3"/>
        <v>11</v>
      </c>
      <c r="D88" s="1" t="s">
        <v>25</v>
      </c>
      <c r="E88" s="1" t="s">
        <v>44</v>
      </c>
      <c r="F88" s="3" t="s">
        <v>208</v>
      </c>
      <c r="G88" s="3" t="s">
        <v>28</v>
      </c>
      <c r="H88" s="1" t="s">
        <v>46</v>
      </c>
      <c r="I88" s="1">
        <f>IFERROR(VLOOKUP(H88,SLA_Ref!$A$1:$B$8,2,FALSE),"")</f>
        <v>8</v>
      </c>
      <c r="J88" s="1" t="str">
        <f t="shared" ca="1" si="2"/>
        <v>ATRASADA</v>
      </c>
      <c r="K88" s="11">
        <f>Tabela2[[#This Row],[SLA
Padrão]]-Tabela2[[#This Row],[SLA Atendimento]]</f>
        <v>-3</v>
      </c>
      <c r="L88" s="11"/>
      <c r="M88" s="2">
        <v>10867.5</v>
      </c>
      <c r="N88" s="2">
        <v>10867.5</v>
      </c>
      <c r="O88" s="1" t="s">
        <v>30</v>
      </c>
      <c r="P88" s="2">
        <f>Tabela2[[#This Row],[Proposta
 Inicial]]-Tabela2[[#This Row],[Proposta
 Negociada]]</f>
        <v>0</v>
      </c>
      <c r="Q88" s="4">
        <f>Tabela2[[#This Row],[Proposta
 Negociada]]/Tabela2[[#This Row],[Proposta
 Inicial]]-1</f>
        <v>0</v>
      </c>
      <c r="S88" t="s">
        <v>209</v>
      </c>
      <c r="T88" s="1">
        <v>450000296</v>
      </c>
      <c r="X88" s="1" t="s">
        <v>35</v>
      </c>
      <c r="Y88" s="1" t="s">
        <v>35</v>
      </c>
    </row>
    <row r="89" spans="1:25">
      <c r="A89" s="9">
        <v>46219</v>
      </c>
      <c r="B89" s="9">
        <v>46220</v>
      </c>
      <c r="C89" s="1">
        <f>Tabela2[[#This Row],[Data
Pedido]]-Tabela2[[#This Row],[Data Última Aprovação RC]]</f>
        <v>1</v>
      </c>
      <c r="D89" s="1" t="s">
        <v>36</v>
      </c>
      <c r="E89" s="1" t="s">
        <v>70</v>
      </c>
      <c r="F89" s="3" t="s">
        <v>210</v>
      </c>
      <c r="G89" s="3" t="s">
        <v>28</v>
      </c>
      <c r="H89" s="1" t="s">
        <v>46</v>
      </c>
      <c r="I89" s="1">
        <f>IFERROR(VLOOKUP(H89,SLA_Ref!$A$1:$B$8,2,FALSE),"")</f>
        <v>8</v>
      </c>
      <c r="J89" s="1" t="str">
        <f ca="1">IF(A89="","",IF(B89="",IF(TODAY()-A89&gt;I89,"ATRASADA","EM ANDAMENTO"),IF(B89-A89&gt;I89,"ATRASADA","NO PRAZO")))</f>
        <v>NO PRAZO</v>
      </c>
      <c r="K89" s="11">
        <f>Tabela2[[#This Row],[SLA
Padrão]]-Tabela2[[#This Row],[SLA Atendimento]]</f>
        <v>7</v>
      </c>
      <c r="L89" s="11"/>
      <c r="M89" s="2">
        <v>95</v>
      </c>
      <c r="N89" s="2">
        <v>95</v>
      </c>
      <c r="O89" s="1" t="s">
        <v>30</v>
      </c>
      <c r="P89" s="2">
        <f>Tabela2[[#This Row],[Proposta
 Inicial]]-Tabela2[[#This Row],[Proposta
 Negociada]]</f>
        <v>0</v>
      </c>
      <c r="Q89" s="4">
        <f>Tabela2[[#This Row],[Proposta
 Negociada]]/Tabela2[[#This Row],[Proposta
 Inicial]]-1</f>
        <v>0</v>
      </c>
      <c r="S89" t="s">
        <v>211</v>
      </c>
      <c r="T89" s="1">
        <v>450000290</v>
      </c>
      <c r="W89" s="1">
        <v>1486</v>
      </c>
      <c r="X89" s="1" t="s">
        <v>32</v>
      </c>
      <c r="Y89" s="1" t="s">
        <v>35</v>
      </c>
    </row>
    <row r="90" spans="1:25" ht="14.45">
      <c r="A90" s="9">
        <v>46223</v>
      </c>
      <c r="B90" s="9">
        <v>46223</v>
      </c>
      <c r="C90" s="1">
        <f t="shared" si="3"/>
        <v>0</v>
      </c>
      <c r="D90" s="1" t="s">
        <v>25</v>
      </c>
      <c r="E90" s="1" t="s">
        <v>70</v>
      </c>
      <c r="F90" s="3" t="s">
        <v>212</v>
      </c>
      <c r="G90" s="3" t="s">
        <v>28</v>
      </c>
      <c r="H90" s="1" t="s">
        <v>29</v>
      </c>
      <c r="I90" s="1">
        <f>IFERROR(VLOOKUP(H90,SLA_Ref!$A$1:$B$8,2,FALSE),"")</f>
        <v>3</v>
      </c>
      <c r="J90" s="1" t="str">
        <f t="shared" ca="1" si="2"/>
        <v>NO PRAZO</v>
      </c>
      <c r="K90" s="11">
        <f>Tabela2[[#This Row],[SLA
Padrão]]-Tabela2[[#This Row],[SLA Atendimento]]</f>
        <v>3</v>
      </c>
      <c r="L90" s="11"/>
      <c r="M90" s="2">
        <v>318.8</v>
      </c>
      <c r="N90" s="2">
        <v>318.8</v>
      </c>
      <c r="O90" s="1" t="s">
        <v>30</v>
      </c>
      <c r="P90" s="2">
        <f>Tabela2[[#This Row],[Proposta
 Inicial]]-Tabela2[[#This Row],[Proposta
 Negociada]]</f>
        <v>0</v>
      </c>
      <c r="Q90" s="4">
        <f>Tabela2[[#This Row],[Proposta
 Negociada]]/Tabela2[[#This Row],[Proposta
 Inicial]]-1</f>
        <v>0</v>
      </c>
      <c r="S90" t="s">
        <v>213</v>
      </c>
      <c r="T90" s="1">
        <v>450000305</v>
      </c>
      <c r="W90" s="1">
        <v>7682</v>
      </c>
      <c r="X90" s="1" t="s">
        <v>32</v>
      </c>
      <c r="Y90" s="1" t="s">
        <v>35</v>
      </c>
    </row>
    <row r="91" spans="1:25" ht="14.45">
      <c r="A91" s="9">
        <v>46213</v>
      </c>
      <c r="B91" s="9">
        <v>46224</v>
      </c>
      <c r="C91" s="1">
        <f t="shared" si="3"/>
        <v>11</v>
      </c>
      <c r="D91" s="1" t="s">
        <v>25</v>
      </c>
      <c r="E91" s="1" t="s">
        <v>70</v>
      </c>
      <c r="F91" s="3" t="s">
        <v>121</v>
      </c>
      <c r="G91" s="3" t="s">
        <v>28</v>
      </c>
      <c r="H91" s="1" t="s">
        <v>46</v>
      </c>
      <c r="I91" s="1">
        <f>IFERROR(VLOOKUP(H91,SLA_Ref!$A$1:$B$8,2,FALSE),"")</f>
        <v>8</v>
      </c>
      <c r="J91" s="1" t="str">
        <f t="shared" ca="1" si="2"/>
        <v>ATRASADA</v>
      </c>
      <c r="K91" s="11">
        <f>Tabela2[[#This Row],[SLA
Padrão]]-Tabela2[[#This Row],[SLA Atendimento]]</f>
        <v>-3</v>
      </c>
      <c r="L91" s="11"/>
      <c r="M91" s="2">
        <v>1707.84</v>
      </c>
      <c r="N91" s="2">
        <v>1707.84</v>
      </c>
      <c r="O91" s="1" t="s">
        <v>30</v>
      </c>
      <c r="P91" s="2">
        <f>Tabela2[[#This Row],[Proposta
 Inicial]]-Tabela2[[#This Row],[Proposta
 Negociada]]</f>
        <v>0</v>
      </c>
      <c r="Q91" s="4">
        <f>Tabela2[[#This Row],[Proposta
 Negociada]]/Tabela2[[#This Row],[Proposta
 Inicial]]-1</f>
        <v>0</v>
      </c>
      <c r="S91" t="s">
        <v>122</v>
      </c>
      <c r="T91" s="1">
        <v>450000308</v>
      </c>
      <c r="X91" s="1" t="s">
        <v>32</v>
      </c>
      <c r="Y91" s="1" t="s">
        <v>32</v>
      </c>
    </row>
    <row r="92" spans="1:25" ht="14.45">
      <c r="A92" s="9">
        <v>46224</v>
      </c>
      <c r="B92" s="9">
        <v>46225</v>
      </c>
      <c r="C92" s="1">
        <f t="shared" si="3"/>
        <v>1</v>
      </c>
      <c r="D92" s="1" t="s">
        <v>25</v>
      </c>
      <c r="E92" s="1" t="s">
        <v>26</v>
      </c>
      <c r="F92" s="3" t="s">
        <v>27</v>
      </c>
      <c r="G92" s="3" t="s">
        <v>28</v>
      </c>
      <c r="H92" s="1" t="s">
        <v>46</v>
      </c>
      <c r="I92" s="1">
        <f>IFERROR(VLOOKUP(H92,SLA_Ref!$A$1:$B$8,2,FALSE),"")</f>
        <v>8</v>
      </c>
      <c r="J92" s="1" t="str">
        <f t="shared" ca="1" si="2"/>
        <v>NO PRAZO</v>
      </c>
      <c r="K92" s="11">
        <f>Tabela2[[#This Row],[SLA
Padrão]]-Tabela2[[#This Row],[SLA Atendimento]]</f>
        <v>7</v>
      </c>
      <c r="L92" s="11"/>
      <c r="M92" s="2">
        <v>1045.71</v>
      </c>
      <c r="N92" s="2">
        <v>1045.71</v>
      </c>
      <c r="O92" s="1" t="s">
        <v>30</v>
      </c>
      <c r="P92" s="2">
        <f>Tabela2[[#This Row],[Proposta
 Inicial]]-Tabela2[[#This Row],[Proposta
 Negociada]]</f>
        <v>0</v>
      </c>
      <c r="Q92" s="4">
        <f>Tabela2[[#This Row],[Proposta
 Negociada]]/Tabela2[[#This Row],[Proposta
 Inicial]]-1</f>
        <v>0</v>
      </c>
      <c r="S92" t="s">
        <v>214</v>
      </c>
      <c r="T92" s="1">
        <v>450000310</v>
      </c>
      <c r="W92" s="1">
        <v>25414</v>
      </c>
      <c r="X92" s="1" t="s">
        <v>32</v>
      </c>
      <c r="Y92" s="1" t="s">
        <v>32</v>
      </c>
    </row>
    <row r="93" spans="1:25" ht="14.45">
      <c r="A93" s="9">
        <v>46217</v>
      </c>
      <c r="B93" s="9">
        <v>46223</v>
      </c>
      <c r="C93" s="1">
        <f t="shared" si="3"/>
        <v>6</v>
      </c>
      <c r="D93" s="1" t="s">
        <v>25</v>
      </c>
      <c r="E93" s="1" t="s">
        <v>26</v>
      </c>
      <c r="F93" s="3" t="s">
        <v>215</v>
      </c>
      <c r="G93" s="3" t="s">
        <v>28</v>
      </c>
      <c r="H93" s="1" t="s">
        <v>46</v>
      </c>
      <c r="I93" s="1">
        <f>IFERROR(VLOOKUP(H93,SLA_Ref!$A$1:$B$8,2,FALSE),"")</f>
        <v>8</v>
      </c>
      <c r="J93" s="1" t="str">
        <f t="shared" ca="1" si="2"/>
        <v>NO PRAZO</v>
      </c>
      <c r="K93" s="11">
        <f>Tabela2[[#This Row],[SLA
Padrão]]-Tabela2[[#This Row],[SLA Atendimento]]</f>
        <v>2</v>
      </c>
      <c r="L93" s="11"/>
      <c r="M93" s="2">
        <v>460</v>
      </c>
      <c r="N93" s="2">
        <v>460</v>
      </c>
      <c r="O93" s="1" t="s">
        <v>30</v>
      </c>
      <c r="P93" s="2">
        <f>Tabela2[[#This Row],[Proposta
 Inicial]]-Tabela2[[#This Row],[Proposta
 Negociada]]</f>
        <v>0</v>
      </c>
      <c r="Q93" s="4">
        <f>Tabela2[[#This Row],[Proposta
 Negociada]]/Tabela2[[#This Row],[Proposta
 Inicial]]-1</f>
        <v>0</v>
      </c>
      <c r="S93" t="s">
        <v>216</v>
      </c>
      <c r="T93" s="1">
        <v>450000311</v>
      </c>
      <c r="X93" s="1" t="s">
        <v>32</v>
      </c>
      <c r="Y93" s="1" t="s">
        <v>32</v>
      </c>
    </row>
    <row r="94" spans="1:25" ht="14.45">
      <c r="A94" s="9">
        <v>46215</v>
      </c>
      <c r="B94" s="9">
        <v>46225</v>
      </c>
      <c r="C94" s="1">
        <f t="shared" si="3"/>
        <v>10</v>
      </c>
      <c r="D94" s="1" t="s">
        <v>25</v>
      </c>
      <c r="E94" s="1" t="s">
        <v>70</v>
      </c>
      <c r="F94" s="3" t="s">
        <v>27</v>
      </c>
      <c r="G94" s="3" t="s">
        <v>28</v>
      </c>
      <c r="H94" s="1" t="s">
        <v>46</v>
      </c>
      <c r="I94" s="1">
        <f>IFERROR(VLOOKUP(H94,SLA_Ref!$A$1:$B$8,2,FALSE),"")</f>
        <v>8</v>
      </c>
      <c r="J94" s="1" t="str">
        <f t="shared" ca="1" si="2"/>
        <v>ATRASADA</v>
      </c>
      <c r="K94" s="11">
        <f>Tabela2[[#This Row],[SLA
Padrão]]-Tabela2[[#This Row],[SLA Atendimento]]</f>
        <v>-2</v>
      </c>
      <c r="L94" s="11"/>
      <c r="M94" s="2">
        <v>95</v>
      </c>
      <c r="N94" s="2">
        <v>95</v>
      </c>
      <c r="O94" s="1" t="s">
        <v>30</v>
      </c>
      <c r="P94" s="2">
        <f>Tabela2[[#This Row],[Proposta
 Inicial]]-Tabela2[[#This Row],[Proposta
 Negociada]]</f>
        <v>0</v>
      </c>
      <c r="Q94" s="4">
        <f>Tabela2[[#This Row],[Proposta
 Negociada]]/Tabela2[[#This Row],[Proposta
 Inicial]]-1</f>
        <v>0</v>
      </c>
      <c r="S94" t="s">
        <v>147</v>
      </c>
      <c r="T94" s="1">
        <v>450000312</v>
      </c>
      <c r="X94" s="1" t="s">
        <v>32</v>
      </c>
      <c r="Y94" s="1" t="s">
        <v>32</v>
      </c>
    </row>
    <row r="95" spans="1:25" ht="14.45">
      <c r="A95" s="9">
        <v>46224</v>
      </c>
      <c r="B95" s="9">
        <v>46230</v>
      </c>
      <c r="C95" s="1">
        <f t="shared" si="3"/>
        <v>6</v>
      </c>
      <c r="D95" s="1" t="s">
        <v>25</v>
      </c>
      <c r="E95" s="1" t="s">
        <v>217</v>
      </c>
      <c r="F95" s="3" t="s">
        <v>218</v>
      </c>
      <c r="G95" s="3" t="s">
        <v>28</v>
      </c>
      <c r="H95" s="1" t="s">
        <v>46</v>
      </c>
      <c r="I95" s="1">
        <f>IFERROR(VLOOKUP(H95,SLA_Ref!$A$1:$B$8,2,FALSE),"")</f>
        <v>8</v>
      </c>
      <c r="J95" s="1" t="str">
        <f t="shared" ca="1" si="2"/>
        <v>NO PRAZO</v>
      </c>
      <c r="K95" s="11">
        <f>Tabela2[[#This Row],[SLA
Padrão]]-Tabela2[[#This Row],[SLA Atendimento]]</f>
        <v>2</v>
      </c>
      <c r="L95" s="11"/>
      <c r="M95" s="2">
        <v>55.85</v>
      </c>
      <c r="N95" s="2">
        <v>55.85</v>
      </c>
      <c r="O95" s="1" t="s">
        <v>30</v>
      </c>
      <c r="P95" s="2">
        <f>Tabela2[[#This Row],[Proposta
 Inicial]]-Tabela2[[#This Row],[Proposta
 Negociada]]</f>
        <v>0</v>
      </c>
      <c r="Q95" s="4">
        <f>Tabela2[[#This Row],[Proposta
 Negociada]]/Tabela2[[#This Row],[Proposta
 Inicial]]-1</f>
        <v>0</v>
      </c>
      <c r="S95" t="s">
        <v>219</v>
      </c>
      <c r="T95" s="1">
        <v>450000313</v>
      </c>
      <c r="W95" s="1">
        <v>26468</v>
      </c>
      <c r="X95" s="1" t="s">
        <v>32</v>
      </c>
      <c r="Y95" s="1" t="s">
        <v>32</v>
      </c>
    </row>
    <row r="96" spans="1:25" ht="14.45">
      <c r="A96" s="9">
        <v>46225</v>
      </c>
      <c r="B96" s="9">
        <v>46225</v>
      </c>
      <c r="C96" s="1">
        <f t="shared" si="3"/>
        <v>0</v>
      </c>
      <c r="D96" s="1" t="s">
        <v>25</v>
      </c>
      <c r="E96" s="1" t="s">
        <v>70</v>
      </c>
      <c r="F96" s="3" t="s">
        <v>220</v>
      </c>
      <c r="G96" s="3" t="s">
        <v>28</v>
      </c>
      <c r="H96" s="1" t="s">
        <v>83</v>
      </c>
      <c r="I96" s="1">
        <f>IFERROR(VLOOKUP(H96,SLA_Ref!$A$1:$B$8,2,FALSE),"")</f>
        <v>5</v>
      </c>
      <c r="J96" s="1" t="str">
        <f t="shared" ca="1" si="2"/>
        <v>NO PRAZO</v>
      </c>
      <c r="K96" s="11">
        <f>Tabela2[[#This Row],[SLA
Padrão]]-Tabela2[[#This Row],[SLA Atendimento]]</f>
        <v>5</v>
      </c>
      <c r="L96" s="11"/>
      <c r="M96" s="2">
        <v>787.37</v>
      </c>
      <c r="N96" s="2">
        <v>787.37</v>
      </c>
      <c r="O96" s="1" t="s">
        <v>30</v>
      </c>
      <c r="P96" s="2">
        <f>Tabela2[[#This Row],[Proposta
 Inicial]]-Tabela2[[#This Row],[Proposta
 Negociada]]</f>
        <v>0</v>
      </c>
      <c r="Q96" s="4">
        <f>Tabela2[[#This Row],[Proposta
 Negociada]]/Tabela2[[#This Row],[Proposta
 Inicial]]-1</f>
        <v>0</v>
      </c>
      <c r="S96" t="s">
        <v>221</v>
      </c>
      <c r="T96" s="1">
        <v>450000314</v>
      </c>
      <c r="X96" s="1" t="s">
        <v>32</v>
      </c>
      <c r="Y96" s="1" t="s">
        <v>35</v>
      </c>
    </row>
    <row r="97" spans="1:25" ht="14.45">
      <c r="A97" s="9">
        <v>46220</v>
      </c>
      <c r="B97" s="9">
        <v>46226</v>
      </c>
      <c r="C97" s="1">
        <f t="shared" si="3"/>
        <v>6</v>
      </c>
      <c r="D97" s="1" t="s">
        <v>25</v>
      </c>
      <c r="E97" s="1" t="s">
        <v>70</v>
      </c>
      <c r="F97" s="3" t="s">
        <v>222</v>
      </c>
      <c r="G97" s="3" t="s">
        <v>28</v>
      </c>
      <c r="H97" s="1" t="s">
        <v>91</v>
      </c>
      <c r="I97" s="1">
        <f>IFERROR(VLOOKUP(H97,SLA_Ref!$A$1:$B$8,2,FALSE),"")</f>
        <v>30</v>
      </c>
      <c r="J97" s="1" t="str">
        <f t="shared" ca="1" si="2"/>
        <v>NO PRAZO</v>
      </c>
      <c r="K97" s="11">
        <f>Tabela2[[#This Row],[SLA
Padrão]]-Tabela2[[#This Row],[SLA Atendimento]]</f>
        <v>24</v>
      </c>
      <c r="L97" s="11"/>
      <c r="M97" s="2">
        <v>177</v>
      </c>
      <c r="N97" s="2">
        <v>177</v>
      </c>
      <c r="O97" s="1" t="s">
        <v>30</v>
      </c>
      <c r="P97" s="2">
        <f>Tabela2[[#This Row],[Proposta
 Inicial]]-Tabela2[[#This Row],[Proposta
 Negociada]]</f>
        <v>0</v>
      </c>
      <c r="Q97" s="4">
        <f>Tabela2[[#This Row],[Proposta
 Negociada]]/Tabela2[[#This Row],[Proposta
 Inicial]]-1</f>
        <v>0</v>
      </c>
      <c r="S97" t="s">
        <v>223</v>
      </c>
      <c r="T97" s="1">
        <v>450000316</v>
      </c>
      <c r="X97" s="1" t="s">
        <v>32</v>
      </c>
      <c r="Y97" s="1" t="s">
        <v>35</v>
      </c>
    </row>
    <row r="98" spans="1:25" ht="14.45">
      <c r="A98" s="9">
        <v>46225</v>
      </c>
      <c r="B98" s="9">
        <v>46226</v>
      </c>
      <c r="C98" s="1">
        <f t="shared" si="3"/>
        <v>1</v>
      </c>
      <c r="D98" s="1" t="s">
        <v>25</v>
      </c>
      <c r="E98" s="1" t="s">
        <v>44</v>
      </c>
      <c r="F98" s="3" t="s">
        <v>224</v>
      </c>
      <c r="G98" s="3" t="s">
        <v>28</v>
      </c>
      <c r="H98" s="1" t="s">
        <v>29</v>
      </c>
      <c r="I98" s="1">
        <f>IFERROR(VLOOKUP(H98,SLA_Ref!$A$1:$B$8,2,FALSE),"")</f>
        <v>3</v>
      </c>
      <c r="J98" s="1" t="str">
        <f t="shared" ca="1" si="2"/>
        <v>NO PRAZO</v>
      </c>
      <c r="K98" s="11">
        <f>Tabela2[[#This Row],[SLA
Padrão]]-Tabela2[[#This Row],[SLA Atendimento]]</f>
        <v>2</v>
      </c>
      <c r="L98" s="11"/>
      <c r="M98" s="2">
        <v>880</v>
      </c>
      <c r="N98" s="2">
        <v>880</v>
      </c>
      <c r="O98" s="1" t="s">
        <v>30</v>
      </c>
      <c r="P98" s="2">
        <f>Tabela2[[#This Row],[Proposta
 Inicial]]-Tabela2[[#This Row],[Proposta
 Negociada]]</f>
        <v>0</v>
      </c>
      <c r="Q98" s="4">
        <f>Tabela2[[#This Row],[Proposta
 Negociada]]/Tabela2[[#This Row],[Proposta
 Inicial]]-1</f>
        <v>0</v>
      </c>
      <c r="S98" t="s">
        <v>225</v>
      </c>
      <c r="T98" s="1">
        <v>450000319</v>
      </c>
      <c r="X98" s="1" t="s">
        <v>32</v>
      </c>
      <c r="Y98" s="1" t="s">
        <v>32</v>
      </c>
    </row>
    <row r="99" spans="1:25">
      <c r="A99" s="9">
        <v>46227</v>
      </c>
      <c r="B99" s="9">
        <v>46232</v>
      </c>
      <c r="C99" s="1">
        <f t="shared" si="3"/>
        <v>5</v>
      </c>
      <c r="D99" s="1" t="s">
        <v>36</v>
      </c>
      <c r="E99" s="1" t="s">
        <v>70</v>
      </c>
      <c r="F99" s="3" t="s">
        <v>226</v>
      </c>
      <c r="G99" s="3" t="s">
        <v>28</v>
      </c>
      <c r="H99" s="1" t="s">
        <v>46</v>
      </c>
      <c r="I99" s="1">
        <f>IFERROR(VLOOKUP(H99,SLA_Ref!$A$1:$B$8,2,FALSE),"")</f>
        <v>8</v>
      </c>
      <c r="J99" s="1" t="str">
        <f t="shared" ca="1" si="2"/>
        <v>NO PRAZO</v>
      </c>
      <c r="K99" s="11">
        <f>Tabela2[[#This Row],[SLA
Padrão]]-Tabela2[[#This Row],[SLA Atendimento]]</f>
        <v>3</v>
      </c>
      <c r="L99" s="11"/>
      <c r="M99" s="2">
        <v>49097.61</v>
      </c>
      <c r="N99" s="2">
        <v>49097.61</v>
      </c>
      <c r="O99" s="1" t="s">
        <v>30</v>
      </c>
      <c r="P99" s="2">
        <f>Tabela2[[#This Row],[Proposta
 Inicial]]-Tabela2[[#This Row],[Proposta
 Negociada]]</f>
        <v>0</v>
      </c>
      <c r="Q99" s="4">
        <f>Tabela2[[#This Row],[Proposta
 Negociada]]/Tabela2[[#This Row],[Proposta
 Inicial]]-1</f>
        <v>0</v>
      </c>
      <c r="S99" t="s">
        <v>227</v>
      </c>
      <c r="T99" s="1">
        <v>450000337</v>
      </c>
      <c r="X99" s="1" t="s">
        <v>35</v>
      </c>
      <c r="Y99" s="1" t="s">
        <v>35</v>
      </c>
    </row>
    <row r="100" spans="1:25">
      <c r="A100" s="9">
        <v>46223</v>
      </c>
      <c r="B100" s="9">
        <v>46232</v>
      </c>
      <c r="C100" s="1">
        <f t="shared" si="3"/>
        <v>9</v>
      </c>
      <c r="D100" s="1" t="s">
        <v>36</v>
      </c>
      <c r="E100" s="1" t="s">
        <v>70</v>
      </c>
      <c r="F100" s="3" t="s">
        <v>228</v>
      </c>
      <c r="G100" s="3" t="s">
        <v>28</v>
      </c>
      <c r="H100" s="1" t="s">
        <v>46</v>
      </c>
      <c r="I100" s="1">
        <f>IFERROR(VLOOKUP(H100,SLA_Ref!$A$1:$B$8,2,FALSE),"")</f>
        <v>8</v>
      </c>
      <c r="J100" s="1" t="str">
        <f t="shared" ca="1" si="2"/>
        <v>ATRASADA</v>
      </c>
      <c r="K100" s="11">
        <f>Tabela2[[#This Row],[SLA
Padrão]]-Tabela2[[#This Row],[SLA Atendimento]]</f>
        <v>-1</v>
      </c>
      <c r="L100" s="11"/>
      <c r="M100" s="2">
        <v>5558.05</v>
      </c>
      <c r="N100" s="2">
        <v>5558.05</v>
      </c>
      <c r="O100" s="1" t="s">
        <v>30</v>
      </c>
      <c r="P100" s="2">
        <f>Tabela2[[#This Row],[Proposta
 Inicial]]-Tabela2[[#This Row],[Proposta
 Negociada]]</f>
        <v>0</v>
      </c>
      <c r="Q100" s="4">
        <f>Tabela2[[#This Row],[Proposta
 Negociada]]/Tabela2[[#This Row],[Proposta
 Inicial]]-1</f>
        <v>0</v>
      </c>
      <c r="S100" t="s">
        <v>229</v>
      </c>
      <c r="T100" s="1">
        <v>450000332</v>
      </c>
      <c r="X100" s="1" t="s">
        <v>35</v>
      </c>
      <c r="Y100" s="1" t="s">
        <v>35</v>
      </c>
    </row>
    <row r="101" spans="1:25">
      <c r="A101" s="9">
        <v>46231</v>
      </c>
      <c r="B101" s="9">
        <v>46233</v>
      </c>
      <c r="C101" s="1">
        <f t="shared" si="3"/>
        <v>2</v>
      </c>
      <c r="D101" s="1" t="s">
        <v>36</v>
      </c>
      <c r="E101" s="1" t="s">
        <v>55</v>
      </c>
      <c r="F101" s="3" t="s">
        <v>230</v>
      </c>
      <c r="G101" s="3" t="s">
        <v>28</v>
      </c>
      <c r="H101" s="1" t="s">
        <v>46</v>
      </c>
      <c r="I101" s="1">
        <f>IFERROR(VLOOKUP(H101,SLA_Ref!$A$1:$B$8,2,FALSE),"")</f>
        <v>8</v>
      </c>
      <c r="J101" s="1" t="str">
        <f t="shared" ref="J101" ca="1" si="4">IF(A101="","",IF(B101="",IF(TODAY()-A101&gt;I101,"ATRASADA","EM ANDAMENTO"),IF(B101-A101&gt;I101,"ATRASADA","NO PRAZO")))</f>
        <v>NO PRAZO</v>
      </c>
      <c r="K101" s="11">
        <f>Tabela2[[#This Row],[SLA
Padrão]]-Tabela2[[#This Row],[SLA Atendimento]]</f>
        <v>6</v>
      </c>
      <c r="L101" s="11"/>
      <c r="M101" s="2">
        <v>288</v>
      </c>
      <c r="N101" s="2">
        <v>288</v>
      </c>
      <c r="O101" s="1" t="s">
        <v>30</v>
      </c>
      <c r="P101" s="2">
        <f>Tabela2[[#This Row],[Proposta
 Inicial]]-Tabela2[[#This Row],[Proposta
 Negociada]]</f>
        <v>0</v>
      </c>
      <c r="Q101" s="4">
        <f>Tabela2[[#This Row],[Proposta
 Negociada]]/Tabela2[[#This Row],[Proposta
 Inicial]]-1</f>
        <v>0</v>
      </c>
      <c r="S101" t="s">
        <v>231</v>
      </c>
      <c r="T101" s="1">
        <v>450000338</v>
      </c>
      <c r="X101" s="1" t="s">
        <v>35</v>
      </c>
      <c r="Y101" s="1" t="s">
        <v>35</v>
      </c>
    </row>
    <row r="102" spans="1:25" ht="14.45">
      <c r="A102" s="9"/>
      <c r="B102" s="9"/>
      <c r="C102" s="1" t="str">
        <f t="shared" si="3"/>
        <v/>
      </c>
      <c r="I102" s="1" t="str">
        <f>IFERROR(VLOOKUP(H102,SLA_Ref!$A$1:$B$8,2,FALSE),"")</f>
        <v/>
      </c>
      <c r="J102" s="1" t="str">
        <f t="shared" ca="1" si="2"/>
        <v/>
      </c>
      <c r="K102" s="11" t="e">
        <f>Tabela2[[#This Row],[SLA
Padrão]]-Tabela2[[#This Row],[SLA Atendimento]]</f>
        <v>#VALUE!</v>
      </c>
      <c r="L102" s="11"/>
      <c r="O102" s="1" t="s">
        <v>30</v>
      </c>
      <c r="P102" s="2">
        <f>Tabela2[[#This Row],[Proposta
 Inicial]]-Tabela2[[#This Row],[Proposta
 Negociada]]</f>
        <v>0</v>
      </c>
      <c r="Q102" s="4" t="e">
        <f>Tabela2[[#This Row],[Proposta
 Negociada]]/Tabela2[[#This Row],[Proposta
 Inicial]]-1</f>
        <v>#DIV/0!</v>
      </c>
      <c r="S102"/>
    </row>
    <row r="103" spans="1:25" ht="14.45">
      <c r="A103" s="9"/>
      <c r="B103" s="9"/>
      <c r="C103" s="1" t="str">
        <f t="shared" si="3"/>
        <v/>
      </c>
      <c r="I103" s="1" t="str">
        <f>IFERROR(VLOOKUP(H103,SLA_Ref!$A$1:$B$8,2,FALSE),"")</f>
        <v/>
      </c>
      <c r="J103" s="1" t="str">
        <f t="shared" ca="1" si="2"/>
        <v/>
      </c>
      <c r="K103" s="11" t="e">
        <f>Tabela2[[#This Row],[SLA
Padrão]]-Tabela2[[#This Row],[SLA Atendimento]]</f>
        <v>#VALUE!</v>
      </c>
      <c r="L103" s="11"/>
      <c r="O103" s="1" t="s">
        <v>30</v>
      </c>
      <c r="P103" s="2">
        <f>Tabela2[[#This Row],[Proposta
 Inicial]]-Tabela2[[#This Row],[Proposta
 Negociada]]</f>
        <v>0</v>
      </c>
      <c r="Q103" s="4" t="e">
        <f>Tabela2[[#This Row],[Proposta
 Negociada]]/Tabela2[[#This Row],[Proposta
 Inicial]]-1</f>
        <v>#DIV/0!</v>
      </c>
      <c r="S103"/>
    </row>
    <row r="104" spans="1:25" ht="14.45">
      <c r="A104" s="9"/>
      <c r="B104" s="9"/>
      <c r="C104" s="1" t="str">
        <f t="shared" si="3"/>
        <v/>
      </c>
      <c r="I104" s="1" t="str">
        <f>IFERROR(VLOOKUP(H104,SLA_Ref!$A$1:$B$8,2,FALSE),"")</f>
        <v/>
      </c>
      <c r="J104" s="1" t="str">
        <f t="shared" ca="1" si="2"/>
        <v/>
      </c>
      <c r="K104" s="11" t="e">
        <f>Tabela2[[#This Row],[SLA
Padrão]]-Tabela2[[#This Row],[SLA Atendimento]]</f>
        <v>#VALUE!</v>
      </c>
      <c r="L104" s="11"/>
      <c r="O104" s="1" t="s">
        <v>30</v>
      </c>
      <c r="P104" s="2">
        <f>Tabela2[[#This Row],[Proposta
 Inicial]]-Tabela2[[#This Row],[Proposta
 Negociada]]</f>
        <v>0</v>
      </c>
      <c r="Q104" s="4" t="e">
        <f>Tabela2[[#This Row],[Proposta
 Negociada]]/Tabela2[[#This Row],[Proposta
 Inicial]]-1</f>
        <v>#DIV/0!</v>
      </c>
      <c r="S104"/>
    </row>
    <row r="105" spans="1:25" ht="14.45">
      <c r="A105" s="9"/>
      <c r="B105" s="9"/>
      <c r="C105" s="1" t="str">
        <f t="shared" si="3"/>
        <v/>
      </c>
      <c r="I105" s="1" t="str">
        <f>IFERROR(VLOOKUP(H105,SLA_Ref!$A$1:$B$8,2,FALSE),"")</f>
        <v/>
      </c>
      <c r="J105" s="1" t="str">
        <f t="shared" ca="1" si="2"/>
        <v/>
      </c>
      <c r="K105" s="11" t="e">
        <f>Tabela2[[#This Row],[SLA
Padrão]]-Tabela2[[#This Row],[SLA Atendimento]]</f>
        <v>#VALUE!</v>
      </c>
      <c r="L105" s="11"/>
      <c r="O105" s="1" t="s">
        <v>30</v>
      </c>
      <c r="P105" s="2">
        <f>Tabela2[[#This Row],[Proposta
 Inicial]]-Tabela2[[#This Row],[Proposta
 Negociada]]</f>
        <v>0</v>
      </c>
      <c r="Q105" s="4" t="e">
        <f>Tabela2[[#This Row],[Proposta
 Negociada]]/Tabela2[[#This Row],[Proposta
 Inicial]]-1</f>
        <v>#DIV/0!</v>
      </c>
      <c r="S105"/>
    </row>
    <row r="106" spans="1:25" ht="14.45">
      <c r="A106" s="9"/>
      <c r="B106" s="9"/>
      <c r="C106" s="1" t="str">
        <f t="shared" si="3"/>
        <v/>
      </c>
      <c r="I106" s="1" t="str">
        <f>IFERROR(VLOOKUP(H106,SLA_Ref!$A$1:$B$8,2,FALSE),"")</f>
        <v/>
      </c>
      <c r="J106" s="1" t="str">
        <f t="shared" ca="1" si="2"/>
        <v/>
      </c>
      <c r="K106" s="11" t="e">
        <f>Tabela2[[#This Row],[SLA
Padrão]]-Tabela2[[#This Row],[SLA Atendimento]]</f>
        <v>#VALUE!</v>
      </c>
      <c r="L106" s="11"/>
      <c r="O106" s="1" t="s">
        <v>30</v>
      </c>
      <c r="P106" s="2">
        <f>Tabela2[[#This Row],[Proposta
 Inicial]]-Tabela2[[#This Row],[Proposta
 Negociada]]</f>
        <v>0</v>
      </c>
      <c r="Q106" s="4" t="e">
        <f>Tabela2[[#This Row],[Proposta
 Negociada]]/Tabela2[[#This Row],[Proposta
 Inicial]]-1</f>
        <v>#DIV/0!</v>
      </c>
      <c r="S106"/>
    </row>
    <row r="107" spans="1:25" ht="14.45">
      <c r="A107" s="9"/>
      <c r="B107" s="9"/>
      <c r="C107" s="1" t="str">
        <f t="shared" si="3"/>
        <v/>
      </c>
      <c r="I107" s="1" t="str">
        <f>IFERROR(VLOOKUP(H107,SLA_Ref!$A$1:$B$8,2,FALSE),"")</f>
        <v/>
      </c>
      <c r="J107" s="1" t="str">
        <f t="shared" ref="J107:J170" ca="1" si="5">IF(A107="","",IF(B107="",IF(TODAY()-A107&gt;I107,"ATRASADA","EM ANDAMENTO"),IF(B107-A107&gt;I107,"ATRASADA","NO PRAZO")))</f>
        <v/>
      </c>
      <c r="K107" s="11" t="e">
        <f>Tabela2[[#This Row],[SLA
Padrão]]-Tabela2[[#This Row],[SLA Atendimento]]</f>
        <v>#VALUE!</v>
      </c>
      <c r="L107" s="11"/>
      <c r="O107" s="1" t="s">
        <v>30</v>
      </c>
      <c r="P107" s="2">
        <f>Tabela2[[#This Row],[Proposta
 Inicial]]-Tabela2[[#This Row],[Proposta
 Negociada]]</f>
        <v>0</v>
      </c>
      <c r="Q107" s="4" t="e">
        <f>Tabela2[[#This Row],[Proposta
 Negociada]]/Tabela2[[#This Row],[Proposta
 Inicial]]-1</f>
        <v>#DIV/0!</v>
      </c>
      <c r="S107"/>
    </row>
    <row r="108" spans="1:25" ht="14.45">
      <c r="A108" s="9"/>
      <c r="B108" s="9"/>
      <c r="C108" s="1" t="str">
        <f t="shared" si="3"/>
        <v/>
      </c>
      <c r="I108" s="1" t="str">
        <f>IFERROR(VLOOKUP(H108,SLA_Ref!$A$1:$B$8,2,FALSE),"")</f>
        <v/>
      </c>
      <c r="J108" s="1" t="str">
        <f t="shared" ca="1" si="5"/>
        <v/>
      </c>
      <c r="K108" s="11" t="e">
        <f>Tabela2[[#This Row],[SLA
Padrão]]-Tabela2[[#This Row],[SLA Atendimento]]</f>
        <v>#VALUE!</v>
      </c>
      <c r="L108" s="11"/>
      <c r="O108" s="1" t="s">
        <v>30</v>
      </c>
      <c r="P108" s="2">
        <f>Tabela2[[#This Row],[Proposta
 Inicial]]-Tabela2[[#This Row],[Proposta
 Negociada]]</f>
        <v>0</v>
      </c>
      <c r="Q108" s="4" t="e">
        <f>Tabela2[[#This Row],[Proposta
 Negociada]]/Tabela2[[#This Row],[Proposta
 Inicial]]-1</f>
        <v>#DIV/0!</v>
      </c>
      <c r="S108"/>
    </row>
    <row r="109" spans="1:25" ht="14.45">
      <c r="A109" s="9"/>
      <c r="B109" s="9"/>
      <c r="C109" s="1" t="str">
        <f t="shared" si="3"/>
        <v/>
      </c>
      <c r="I109" s="1" t="str">
        <f>IFERROR(VLOOKUP(H109,SLA_Ref!$A$1:$B$8,2,FALSE),"")</f>
        <v/>
      </c>
      <c r="J109" s="1" t="str">
        <f t="shared" ca="1" si="5"/>
        <v/>
      </c>
      <c r="K109" s="11" t="e">
        <f>Tabela2[[#This Row],[SLA
Padrão]]-Tabela2[[#This Row],[SLA Atendimento]]</f>
        <v>#VALUE!</v>
      </c>
      <c r="L109" s="11"/>
      <c r="O109" s="1" t="s">
        <v>30</v>
      </c>
      <c r="P109" s="2">
        <f>Tabela2[[#This Row],[Proposta
 Inicial]]-Tabela2[[#This Row],[Proposta
 Negociada]]</f>
        <v>0</v>
      </c>
      <c r="Q109" s="4" t="e">
        <f>Tabela2[[#This Row],[Proposta
 Negociada]]/Tabela2[[#This Row],[Proposta
 Inicial]]-1</f>
        <v>#DIV/0!</v>
      </c>
      <c r="S109"/>
    </row>
    <row r="110" spans="1:25" ht="14.45">
      <c r="A110" s="9"/>
      <c r="B110" s="9"/>
      <c r="C110" s="1" t="str">
        <f t="shared" si="3"/>
        <v/>
      </c>
      <c r="I110" s="1" t="str">
        <f>IFERROR(VLOOKUP(H110,SLA_Ref!$A$1:$B$8,2,FALSE),"")</f>
        <v/>
      </c>
      <c r="J110" s="1" t="str">
        <f t="shared" ca="1" si="5"/>
        <v/>
      </c>
      <c r="K110" s="11" t="e">
        <f>Tabela2[[#This Row],[SLA
Padrão]]-Tabela2[[#This Row],[SLA Atendimento]]</f>
        <v>#VALUE!</v>
      </c>
      <c r="L110" s="11"/>
      <c r="O110" s="1" t="s">
        <v>30</v>
      </c>
      <c r="P110" s="2">
        <f>Tabela2[[#This Row],[Proposta
 Inicial]]-Tabela2[[#This Row],[Proposta
 Negociada]]</f>
        <v>0</v>
      </c>
      <c r="Q110" s="4" t="e">
        <f>Tabela2[[#This Row],[Proposta
 Negociada]]/Tabela2[[#This Row],[Proposta
 Inicial]]-1</f>
        <v>#DIV/0!</v>
      </c>
      <c r="S110"/>
    </row>
    <row r="111" spans="1:25" ht="14.45">
      <c r="A111" s="9"/>
      <c r="B111" s="9"/>
      <c r="C111" s="1" t="str">
        <f t="shared" si="3"/>
        <v/>
      </c>
      <c r="I111" s="1" t="str">
        <f>IFERROR(VLOOKUP(H111,SLA_Ref!$A$1:$B$8,2,FALSE),"")</f>
        <v/>
      </c>
      <c r="J111" s="1" t="str">
        <f t="shared" ca="1" si="5"/>
        <v/>
      </c>
      <c r="K111" s="11" t="e">
        <f>Tabela2[[#This Row],[SLA
Padrão]]-Tabela2[[#This Row],[SLA Atendimento]]</f>
        <v>#VALUE!</v>
      </c>
      <c r="L111" s="11"/>
      <c r="O111" s="1" t="s">
        <v>30</v>
      </c>
      <c r="P111" s="2">
        <f>Tabela2[[#This Row],[Proposta
 Inicial]]-Tabela2[[#This Row],[Proposta
 Negociada]]</f>
        <v>0</v>
      </c>
      <c r="Q111" s="4" t="e">
        <f>Tabela2[[#This Row],[Proposta
 Negociada]]/Tabela2[[#This Row],[Proposta
 Inicial]]-1</f>
        <v>#DIV/0!</v>
      </c>
      <c r="S111"/>
    </row>
    <row r="112" spans="1:25" ht="14.45">
      <c r="A112" s="9"/>
      <c r="B112" s="9"/>
      <c r="C112" s="1" t="str">
        <f t="shared" si="3"/>
        <v/>
      </c>
      <c r="I112" s="1" t="str">
        <f>IFERROR(VLOOKUP(H112,SLA_Ref!$A$1:$B$8,2,FALSE),"")</f>
        <v/>
      </c>
      <c r="J112" s="1" t="str">
        <f t="shared" ca="1" si="5"/>
        <v/>
      </c>
      <c r="K112" s="11" t="e">
        <f>Tabela2[[#This Row],[SLA
Padrão]]-Tabela2[[#This Row],[SLA Atendimento]]</f>
        <v>#VALUE!</v>
      </c>
      <c r="L112" s="11"/>
      <c r="O112" s="1" t="s">
        <v>30</v>
      </c>
      <c r="P112" s="2">
        <f>Tabela2[[#This Row],[Proposta
 Inicial]]-Tabela2[[#This Row],[Proposta
 Negociada]]</f>
        <v>0</v>
      </c>
      <c r="Q112" s="4" t="e">
        <f>Tabela2[[#This Row],[Proposta
 Negociada]]/Tabela2[[#This Row],[Proposta
 Inicial]]-1</f>
        <v>#DIV/0!</v>
      </c>
      <c r="S112"/>
    </row>
    <row r="113" spans="1:19" ht="14.45">
      <c r="A113" s="9"/>
      <c r="B113" s="9"/>
      <c r="C113" s="1" t="str">
        <f t="shared" si="3"/>
        <v/>
      </c>
      <c r="I113" s="1" t="str">
        <f>IFERROR(VLOOKUP(H113,SLA_Ref!$A$1:$B$8,2,FALSE),"")</f>
        <v/>
      </c>
      <c r="J113" s="1" t="str">
        <f t="shared" ca="1" si="5"/>
        <v/>
      </c>
      <c r="K113" s="11" t="e">
        <f>Tabela2[[#This Row],[SLA
Padrão]]-Tabela2[[#This Row],[SLA Atendimento]]</f>
        <v>#VALUE!</v>
      </c>
      <c r="L113" s="11"/>
      <c r="O113" s="1" t="s">
        <v>30</v>
      </c>
      <c r="P113" s="2">
        <f>Tabela2[[#This Row],[Proposta
 Inicial]]-Tabela2[[#This Row],[Proposta
 Negociada]]</f>
        <v>0</v>
      </c>
      <c r="Q113" s="4" t="e">
        <f>Tabela2[[#This Row],[Proposta
 Negociada]]/Tabela2[[#This Row],[Proposta
 Inicial]]-1</f>
        <v>#DIV/0!</v>
      </c>
      <c r="S113"/>
    </row>
    <row r="114" spans="1:19" ht="14.45">
      <c r="A114" s="9"/>
      <c r="B114" s="9"/>
      <c r="C114" s="1" t="str">
        <f t="shared" si="3"/>
        <v/>
      </c>
      <c r="I114" s="1" t="str">
        <f>IFERROR(VLOOKUP(H114,SLA_Ref!$A$1:$B$8,2,FALSE),"")</f>
        <v/>
      </c>
      <c r="J114" s="1" t="str">
        <f t="shared" ca="1" si="5"/>
        <v/>
      </c>
      <c r="K114" s="11" t="e">
        <f>Tabela2[[#This Row],[SLA
Padrão]]-Tabela2[[#This Row],[SLA Atendimento]]</f>
        <v>#VALUE!</v>
      </c>
      <c r="L114" s="11"/>
      <c r="O114" s="1" t="s">
        <v>30</v>
      </c>
      <c r="P114" s="2">
        <f>Tabela2[[#This Row],[Proposta
 Inicial]]-Tabela2[[#This Row],[Proposta
 Negociada]]</f>
        <v>0</v>
      </c>
      <c r="Q114" s="4" t="e">
        <f>Tabela2[[#This Row],[Proposta
 Negociada]]/Tabela2[[#This Row],[Proposta
 Inicial]]-1</f>
        <v>#DIV/0!</v>
      </c>
      <c r="S114"/>
    </row>
    <row r="115" spans="1:19" ht="14.45">
      <c r="A115" s="9"/>
      <c r="B115" s="9"/>
      <c r="C115" s="1" t="str">
        <f t="shared" si="3"/>
        <v/>
      </c>
      <c r="I115" s="1" t="str">
        <f>IFERROR(VLOOKUP(H115,SLA_Ref!$A$1:$B$8,2,FALSE),"")</f>
        <v/>
      </c>
      <c r="J115" s="1" t="str">
        <f t="shared" ca="1" si="5"/>
        <v/>
      </c>
      <c r="K115" s="11" t="e">
        <f>Tabela2[[#This Row],[SLA
Padrão]]-Tabela2[[#This Row],[SLA Atendimento]]</f>
        <v>#VALUE!</v>
      </c>
      <c r="L115" s="11"/>
      <c r="O115" s="1" t="s">
        <v>30</v>
      </c>
      <c r="P115" s="2">
        <f>Tabela2[[#This Row],[Proposta
 Inicial]]-Tabela2[[#This Row],[Proposta
 Negociada]]</f>
        <v>0</v>
      </c>
      <c r="Q115" s="4" t="e">
        <f>Tabela2[[#This Row],[Proposta
 Negociada]]/Tabela2[[#This Row],[Proposta
 Inicial]]-1</f>
        <v>#DIV/0!</v>
      </c>
      <c r="S115"/>
    </row>
    <row r="116" spans="1:19" ht="14.45">
      <c r="A116" s="9"/>
      <c r="B116" s="9"/>
      <c r="C116" s="1" t="str">
        <f t="shared" si="3"/>
        <v/>
      </c>
      <c r="I116" s="1" t="str">
        <f>IFERROR(VLOOKUP(H116,SLA_Ref!$A$1:$B$8,2,FALSE),"")</f>
        <v/>
      </c>
      <c r="J116" s="1" t="str">
        <f t="shared" ca="1" si="5"/>
        <v/>
      </c>
      <c r="K116" s="11" t="e">
        <f>Tabela2[[#This Row],[SLA
Padrão]]-Tabela2[[#This Row],[SLA Atendimento]]</f>
        <v>#VALUE!</v>
      </c>
      <c r="L116" s="11"/>
      <c r="O116" s="1" t="s">
        <v>30</v>
      </c>
      <c r="P116" s="2">
        <f>Tabela2[[#This Row],[Proposta
 Inicial]]-Tabela2[[#This Row],[Proposta
 Negociada]]</f>
        <v>0</v>
      </c>
      <c r="Q116" s="4" t="e">
        <f>Tabela2[[#This Row],[Proposta
 Negociada]]/Tabela2[[#This Row],[Proposta
 Inicial]]-1</f>
        <v>#DIV/0!</v>
      </c>
      <c r="S116"/>
    </row>
    <row r="117" spans="1:19" ht="14.45">
      <c r="A117" s="9"/>
      <c r="B117" s="9"/>
      <c r="C117" s="1" t="str">
        <f t="shared" si="3"/>
        <v/>
      </c>
      <c r="I117" s="1" t="str">
        <f>IFERROR(VLOOKUP(H117,SLA_Ref!$A$1:$B$8,2,FALSE),"")</f>
        <v/>
      </c>
      <c r="J117" s="1" t="str">
        <f t="shared" ca="1" si="5"/>
        <v/>
      </c>
      <c r="K117" s="11" t="e">
        <f>Tabela2[[#This Row],[SLA
Padrão]]-Tabela2[[#This Row],[SLA Atendimento]]</f>
        <v>#VALUE!</v>
      </c>
      <c r="L117" s="11"/>
      <c r="O117" s="1" t="s">
        <v>30</v>
      </c>
      <c r="P117" s="2">
        <f>Tabela2[[#This Row],[Proposta
 Inicial]]-Tabela2[[#This Row],[Proposta
 Negociada]]</f>
        <v>0</v>
      </c>
      <c r="Q117" s="4" t="e">
        <f>Tabela2[[#This Row],[Proposta
 Negociada]]/Tabela2[[#This Row],[Proposta
 Inicial]]-1</f>
        <v>#DIV/0!</v>
      </c>
      <c r="S117"/>
    </row>
    <row r="118" spans="1:19" ht="14.45">
      <c r="A118" s="9"/>
      <c r="B118" s="9"/>
      <c r="C118" s="1" t="str">
        <f t="shared" si="3"/>
        <v/>
      </c>
      <c r="I118" s="1" t="str">
        <f>IFERROR(VLOOKUP(H118,SLA_Ref!$A$1:$B$8,2,FALSE),"")</f>
        <v/>
      </c>
      <c r="J118" s="1" t="str">
        <f t="shared" ca="1" si="5"/>
        <v/>
      </c>
      <c r="K118" s="11" t="e">
        <f>Tabela2[[#This Row],[SLA
Padrão]]-Tabela2[[#This Row],[SLA Atendimento]]</f>
        <v>#VALUE!</v>
      </c>
      <c r="L118" s="11"/>
      <c r="O118" s="1" t="s">
        <v>30</v>
      </c>
      <c r="P118" s="2">
        <f>Tabela2[[#This Row],[Proposta
 Inicial]]-Tabela2[[#This Row],[Proposta
 Negociada]]</f>
        <v>0</v>
      </c>
      <c r="Q118" s="4" t="e">
        <f>Tabela2[[#This Row],[Proposta
 Negociada]]/Tabela2[[#This Row],[Proposta
 Inicial]]-1</f>
        <v>#DIV/0!</v>
      </c>
      <c r="S118"/>
    </row>
    <row r="119" spans="1:19" ht="14.45">
      <c r="A119" s="9"/>
      <c r="B119" s="9"/>
      <c r="C119" s="1" t="str">
        <f t="shared" si="3"/>
        <v/>
      </c>
      <c r="I119" s="1" t="str">
        <f>IFERROR(VLOOKUP(H119,SLA_Ref!$A$1:$B$8,2,FALSE),"")</f>
        <v/>
      </c>
      <c r="J119" s="1" t="str">
        <f t="shared" ca="1" si="5"/>
        <v/>
      </c>
      <c r="K119" s="11" t="e">
        <f>Tabela2[[#This Row],[SLA
Padrão]]-Tabela2[[#This Row],[SLA Atendimento]]</f>
        <v>#VALUE!</v>
      </c>
      <c r="L119" s="11"/>
      <c r="O119" s="1" t="s">
        <v>30</v>
      </c>
      <c r="P119" s="2">
        <f>Tabela2[[#This Row],[Proposta
 Inicial]]-Tabela2[[#This Row],[Proposta
 Negociada]]</f>
        <v>0</v>
      </c>
      <c r="Q119" s="4" t="e">
        <f>Tabela2[[#This Row],[Proposta
 Negociada]]/Tabela2[[#This Row],[Proposta
 Inicial]]-1</f>
        <v>#DIV/0!</v>
      </c>
      <c r="S119"/>
    </row>
    <row r="120" spans="1:19" ht="14.45">
      <c r="A120" s="9"/>
      <c r="B120" s="9"/>
      <c r="C120" s="1" t="str">
        <f t="shared" si="3"/>
        <v/>
      </c>
      <c r="I120" s="1" t="str">
        <f>IFERROR(VLOOKUP(H120,SLA_Ref!$A$1:$B$8,2,FALSE),"")</f>
        <v/>
      </c>
      <c r="J120" s="1" t="str">
        <f t="shared" ca="1" si="5"/>
        <v/>
      </c>
      <c r="K120" s="11" t="e">
        <f>Tabela2[[#This Row],[SLA
Padrão]]-Tabela2[[#This Row],[SLA Atendimento]]</f>
        <v>#VALUE!</v>
      </c>
      <c r="L120" s="11"/>
      <c r="O120" s="1" t="s">
        <v>30</v>
      </c>
      <c r="P120" s="2">
        <f>Tabela2[[#This Row],[Proposta
 Inicial]]-Tabela2[[#This Row],[Proposta
 Negociada]]</f>
        <v>0</v>
      </c>
      <c r="Q120" s="4" t="e">
        <f>Tabela2[[#This Row],[Proposta
 Negociada]]/Tabela2[[#This Row],[Proposta
 Inicial]]-1</f>
        <v>#DIV/0!</v>
      </c>
      <c r="S120"/>
    </row>
    <row r="121" spans="1:19" ht="14.45">
      <c r="A121" s="9"/>
      <c r="B121" s="9"/>
      <c r="C121" s="1" t="str">
        <f t="shared" si="3"/>
        <v/>
      </c>
      <c r="I121" s="1" t="str">
        <f>IFERROR(VLOOKUP(H121,SLA_Ref!$A$1:$B$8,2,FALSE),"")</f>
        <v/>
      </c>
      <c r="J121" s="1" t="str">
        <f t="shared" ca="1" si="5"/>
        <v/>
      </c>
      <c r="K121" s="11" t="e">
        <f>Tabela2[[#This Row],[SLA
Padrão]]-Tabela2[[#This Row],[SLA Atendimento]]</f>
        <v>#VALUE!</v>
      </c>
      <c r="L121" s="11"/>
      <c r="O121" s="1" t="s">
        <v>30</v>
      </c>
      <c r="P121" s="2">
        <f>Tabela2[[#This Row],[Proposta
 Inicial]]-Tabela2[[#This Row],[Proposta
 Negociada]]</f>
        <v>0</v>
      </c>
      <c r="Q121" s="4" t="e">
        <f>Tabela2[[#This Row],[Proposta
 Negociada]]/Tabela2[[#This Row],[Proposta
 Inicial]]-1</f>
        <v>#DIV/0!</v>
      </c>
      <c r="S121"/>
    </row>
    <row r="122" spans="1:19" ht="14.45">
      <c r="A122" s="9"/>
      <c r="B122" s="9"/>
      <c r="C122" s="1" t="str">
        <f t="shared" si="3"/>
        <v/>
      </c>
      <c r="I122" s="1" t="str">
        <f>IFERROR(VLOOKUP(H122,SLA_Ref!$A$1:$B$8,2,FALSE),"")</f>
        <v/>
      </c>
      <c r="J122" s="1" t="str">
        <f t="shared" ca="1" si="5"/>
        <v/>
      </c>
      <c r="K122" s="11" t="e">
        <f>Tabela2[[#This Row],[SLA
Padrão]]-Tabela2[[#This Row],[SLA Atendimento]]</f>
        <v>#VALUE!</v>
      </c>
      <c r="L122" s="11"/>
      <c r="O122" s="1" t="s">
        <v>30</v>
      </c>
      <c r="P122" s="2">
        <f>Tabela2[[#This Row],[Proposta
 Inicial]]-Tabela2[[#This Row],[Proposta
 Negociada]]</f>
        <v>0</v>
      </c>
      <c r="Q122" s="4" t="e">
        <f>Tabela2[[#This Row],[Proposta
 Negociada]]/Tabela2[[#This Row],[Proposta
 Inicial]]-1</f>
        <v>#DIV/0!</v>
      </c>
      <c r="S122"/>
    </row>
    <row r="123" spans="1:19" ht="14.45">
      <c r="A123" s="9"/>
      <c r="B123" s="9"/>
      <c r="C123" s="1" t="str">
        <f t="shared" si="3"/>
        <v/>
      </c>
      <c r="I123" s="1" t="str">
        <f>IFERROR(VLOOKUP(H123,SLA_Ref!$A$1:$B$8,2,FALSE),"")</f>
        <v/>
      </c>
      <c r="J123" s="1" t="str">
        <f t="shared" ca="1" si="5"/>
        <v/>
      </c>
      <c r="K123" s="11" t="e">
        <f>Tabela2[[#This Row],[SLA
Padrão]]-Tabela2[[#This Row],[SLA Atendimento]]</f>
        <v>#VALUE!</v>
      </c>
      <c r="L123" s="11"/>
      <c r="O123" s="1" t="s">
        <v>30</v>
      </c>
      <c r="P123" s="2">
        <f>Tabela2[[#This Row],[Proposta
 Inicial]]-Tabela2[[#This Row],[Proposta
 Negociada]]</f>
        <v>0</v>
      </c>
      <c r="Q123" s="4" t="e">
        <f>Tabela2[[#This Row],[Proposta
 Negociada]]/Tabela2[[#This Row],[Proposta
 Inicial]]-1</f>
        <v>#DIV/0!</v>
      </c>
      <c r="S123"/>
    </row>
    <row r="124" spans="1:19" ht="14.45">
      <c r="A124" s="9"/>
      <c r="B124" s="9"/>
      <c r="C124" s="1" t="str">
        <f t="shared" si="3"/>
        <v/>
      </c>
      <c r="I124" s="1" t="str">
        <f>IFERROR(VLOOKUP(H124,SLA_Ref!$A$1:$B$8,2,FALSE),"")</f>
        <v/>
      </c>
      <c r="J124" s="1" t="str">
        <f t="shared" ca="1" si="5"/>
        <v/>
      </c>
      <c r="K124" s="11" t="e">
        <f>Tabela2[[#This Row],[SLA
Padrão]]-Tabela2[[#This Row],[SLA Atendimento]]</f>
        <v>#VALUE!</v>
      </c>
      <c r="L124" s="11"/>
      <c r="O124" s="1" t="s">
        <v>30</v>
      </c>
      <c r="P124" s="2">
        <f>Tabela2[[#This Row],[Proposta
 Inicial]]-Tabela2[[#This Row],[Proposta
 Negociada]]</f>
        <v>0</v>
      </c>
      <c r="Q124" s="4" t="e">
        <f>Tabela2[[#This Row],[Proposta
 Negociada]]/Tabela2[[#This Row],[Proposta
 Inicial]]-1</f>
        <v>#DIV/0!</v>
      </c>
      <c r="S124"/>
    </row>
    <row r="125" spans="1:19" ht="14.45">
      <c r="A125" s="9"/>
      <c r="B125" s="9"/>
      <c r="C125" s="1" t="str">
        <f t="shared" si="3"/>
        <v/>
      </c>
      <c r="I125" s="1" t="str">
        <f>IFERROR(VLOOKUP(H125,SLA_Ref!$A$1:$B$8,2,FALSE),"")</f>
        <v/>
      </c>
      <c r="J125" s="1" t="str">
        <f t="shared" ca="1" si="5"/>
        <v/>
      </c>
      <c r="K125" s="11" t="e">
        <f>Tabela2[[#This Row],[SLA
Padrão]]-Tabela2[[#This Row],[SLA Atendimento]]</f>
        <v>#VALUE!</v>
      </c>
      <c r="L125" s="11"/>
      <c r="O125" s="1" t="s">
        <v>30</v>
      </c>
      <c r="P125" s="2">
        <f>Tabela2[[#This Row],[Proposta
 Inicial]]-Tabela2[[#This Row],[Proposta
 Negociada]]</f>
        <v>0</v>
      </c>
      <c r="Q125" s="4" t="e">
        <f>Tabela2[[#This Row],[Proposta
 Negociada]]/Tabela2[[#This Row],[Proposta
 Inicial]]-1</f>
        <v>#DIV/0!</v>
      </c>
      <c r="S125"/>
    </row>
    <row r="126" spans="1:19" ht="14.45">
      <c r="A126" s="9"/>
      <c r="B126" s="9"/>
      <c r="C126" s="1" t="str">
        <f t="shared" si="3"/>
        <v/>
      </c>
      <c r="I126" s="1" t="str">
        <f>IFERROR(VLOOKUP(H126,SLA_Ref!$A$1:$B$8,2,FALSE),"")</f>
        <v/>
      </c>
      <c r="J126" s="1" t="str">
        <f t="shared" ca="1" si="5"/>
        <v/>
      </c>
      <c r="K126" s="11" t="e">
        <f>Tabela2[[#This Row],[SLA
Padrão]]-Tabela2[[#This Row],[SLA Atendimento]]</f>
        <v>#VALUE!</v>
      </c>
      <c r="L126" s="11"/>
      <c r="O126" s="1" t="s">
        <v>30</v>
      </c>
      <c r="P126" s="2">
        <f>Tabela2[[#This Row],[Proposta
 Inicial]]-Tabela2[[#This Row],[Proposta
 Negociada]]</f>
        <v>0</v>
      </c>
      <c r="Q126" s="4" t="e">
        <f>Tabela2[[#This Row],[Proposta
 Negociada]]/Tabela2[[#This Row],[Proposta
 Inicial]]-1</f>
        <v>#DIV/0!</v>
      </c>
      <c r="S126"/>
    </row>
    <row r="127" spans="1:19" ht="14.45">
      <c r="A127" s="9"/>
      <c r="B127" s="9"/>
      <c r="C127" s="1" t="str">
        <f t="shared" si="3"/>
        <v/>
      </c>
      <c r="I127" s="1" t="str">
        <f>IFERROR(VLOOKUP(H127,SLA_Ref!$A$1:$B$8,2,FALSE),"")</f>
        <v/>
      </c>
      <c r="J127" s="1" t="str">
        <f t="shared" ca="1" si="5"/>
        <v/>
      </c>
      <c r="K127" s="11" t="e">
        <f>Tabela2[[#This Row],[SLA
Padrão]]-Tabela2[[#This Row],[SLA Atendimento]]</f>
        <v>#VALUE!</v>
      </c>
      <c r="L127" s="11"/>
      <c r="O127" s="1" t="s">
        <v>30</v>
      </c>
      <c r="P127" s="2">
        <f>Tabela2[[#This Row],[Proposta
 Inicial]]-Tabela2[[#This Row],[Proposta
 Negociada]]</f>
        <v>0</v>
      </c>
      <c r="Q127" s="4" t="e">
        <f>Tabela2[[#This Row],[Proposta
 Negociada]]/Tabela2[[#This Row],[Proposta
 Inicial]]-1</f>
        <v>#DIV/0!</v>
      </c>
      <c r="S127"/>
    </row>
    <row r="128" spans="1:19" ht="14.45">
      <c r="A128" s="9"/>
      <c r="B128" s="9"/>
      <c r="C128" s="1" t="str">
        <f t="shared" si="3"/>
        <v/>
      </c>
      <c r="I128" s="1" t="str">
        <f>IFERROR(VLOOKUP(H128,SLA_Ref!$A$1:$B$8,2,FALSE),"")</f>
        <v/>
      </c>
      <c r="J128" s="1" t="str">
        <f t="shared" ca="1" si="5"/>
        <v/>
      </c>
      <c r="K128" s="11" t="e">
        <f>Tabela2[[#This Row],[SLA
Padrão]]-Tabela2[[#This Row],[SLA Atendimento]]</f>
        <v>#VALUE!</v>
      </c>
      <c r="L128" s="11"/>
      <c r="O128" s="1" t="s">
        <v>30</v>
      </c>
      <c r="P128" s="2">
        <f>Tabela2[[#This Row],[Proposta
 Inicial]]-Tabela2[[#This Row],[Proposta
 Negociada]]</f>
        <v>0</v>
      </c>
      <c r="Q128" s="4" t="e">
        <f>Tabela2[[#This Row],[Proposta
 Negociada]]/Tabela2[[#This Row],[Proposta
 Inicial]]-1</f>
        <v>#DIV/0!</v>
      </c>
      <c r="S128"/>
    </row>
    <row r="129" spans="1:19" ht="14.45">
      <c r="A129" s="9"/>
      <c r="B129" s="9"/>
      <c r="C129" s="1" t="str">
        <f t="shared" si="3"/>
        <v/>
      </c>
      <c r="I129" s="1" t="str">
        <f>IFERROR(VLOOKUP(H129,SLA_Ref!$A$1:$B$8,2,FALSE),"")</f>
        <v/>
      </c>
      <c r="J129" s="1" t="str">
        <f t="shared" ca="1" si="5"/>
        <v/>
      </c>
      <c r="K129" s="11" t="e">
        <f>Tabela2[[#This Row],[SLA
Padrão]]-Tabela2[[#This Row],[SLA Atendimento]]</f>
        <v>#VALUE!</v>
      </c>
      <c r="L129" s="11"/>
      <c r="O129" s="1" t="s">
        <v>30</v>
      </c>
      <c r="P129" s="2">
        <f>Tabela2[[#This Row],[Proposta
 Inicial]]-Tabela2[[#This Row],[Proposta
 Negociada]]</f>
        <v>0</v>
      </c>
      <c r="Q129" s="4" t="e">
        <f>Tabela2[[#This Row],[Proposta
 Negociada]]/Tabela2[[#This Row],[Proposta
 Inicial]]-1</f>
        <v>#DIV/0!</v>
      </c>
      <c r="S129"/>
    </row>
    <row r="130" spans="1:19" ht="14.45">
      <c r="A130" s="9"/>
      <c r="B130" s="9"/>
      <c r="C130" s="1" t="str">
        <f t="shared" si="3"/>
        <v/>
      </c>
      <c r="I130" s="1" t="str">
        <f>IFERROR(VLOOKUP(H130,SLA_Ref!$A$1:$B$8,2,FALSE),"")</f>
        <v/>
      </c>
      <c r="J130" s="1" t="str">
        <f t="shared" ca="1" si="5"/>
        <v/>
      </c>
      <c r="K130" s="11" t="e">
        <f>Tabela2[[#This Row],[SLA
Padrão]]-Tabela2[[#This Row],[SLA Atendimento]]</f>
        <v>#VALUE!</v>
      </c>
      <c r="L130" s="11"/>
      <c r="O130" s="1" t="s">
        <v>30</v>
      </c>
      <c r="P130" s="2">
        <f>Tabela2[[#This Row],[Proposta
 Inicial]]-Tabela2[[#This Row],[Proposta
 Negociada]]</f>
        <v>0</v>
      </c>
      <c r="Q130" s="4" t="e">
        <f>Tabela2[[#This Row],[Proposta
 Negociada]]/Tabela2[[#This Row],[Proposta
 Inicial]]-1</f>
        <v>#DIV/0!</v>
      </c>
      <c r="S130"/>
    </row>
    <row r="131" spans="1:19" ht="14.45">
      <c r="A131" s="9"/>
      <c r="B131" s="9"/>
      <c r="C131" s="1" t="str">
        <f t="shared" ref="C131:C194" si="6">IF(OR(A131="",B131=""),"",B131-A131)</f>
        <v/>
      </c>
      <c r="I131" s="1" t="str">
        <f>IFERROR(VLOOKUP(H131,SLA_Ref!$A$1:$B$8,2,FALSE),"")</f>
        <v/>
      </c>
      <c r="J131" s="1" t="str">
        <f t="shared" ca="1" si="5"/>
        <v/>
      </c>
      <c r="K131" s="11" t="e">
        <f>Tabela2[[#This Row],[SLA
Padrão]]-Tabela2[[#This Row],[SLA Atendimento]]</f>
        <v>#VALUE!</v>
      </c>
      <c r="L131" s="11"/>
      <c r="O131" s="1" t="s">
        <v>30</v>
      </c>
      <c r="P131" s="2">
        <f>Tabela2[[#This Row],[Proposta
 Inicial]]-Tabela2[[#This Row],[Proposta
 Negociada]]</f>
        <v>0</v>
      </c>
      <c r="Q131" s="4" t="e">
        <f>Tabela2[[#This Row],[Proposta
 Negociada]]/Tabela2[[#This Row],[Proposta
 Inicial]]-1</f>
        <v>#DIV/0!</v>
      </c>
      <c r="S131"/>
    </row>
    <row r="132" spans="1:19" ht="14.45">
      <c r="A132" s="9"/>
      <c r="B132" s="9"/>
      <c r="C132" s="1" t="str">
        <f t="shared" si="6"/>
        <v/>
      </c>
      <c r="I132" s="1" t="str">
        <f>IFERROR(VLOOKUP(H132,SLA_Ref!$A$1:$B$8,2,FALSE),"")</f>
        <v/>
      </c>
      <c r="J132" s="1" t="str">
        <f t="shared" ca="1" si="5"/>
        <v/>
      </c>
      <c r="K132" s="11" t="e">
        <f>Tabela2[[#This Row],[SLA
Padrão]]-Tabela2[[#This Row],[SLA Atendimento]]</f>
        <v>#VALUE!</v>
      </c>
      <c r="L132" s="11"/>
      <c r="O132" s="1" t="s">
        <v>30</v>
      </c>
      <c r="P132" s="2">
        <f>Tabela2[[#This Row],[Proposta
 Inicial]]-Tabela2[[#This Row],[Proposta
 Negociada]]</f>
        <v>0</v>
      </c>
      <c r="Q132" s="4" t="e">
        <f>Tabela2[[#This Row],[Proposta
 Negociada]]/Tabela2[[#This Row],[Proposta
 Inicial]]-1</f>
        <v>#DIV/0!</v>
      </c>
      <c r="S132"/>
    </row>
    <row r="133" spans="1:19" ht="14.45">
      <c r="A133" s="9"/>
      <c r="B133" s="9"/>
      <c r="C133" s="1" t="str">
        <f t="shared" si="6"/>
        <v/>
      </c>
      <c r="I133" s="1" t="str">
        <f>IFERROR(VLOOKUP(H133,SLA_Ref!$A$1:$B$8,2,FALSE),"")</f>
        <v/>
      </c>
      <c r="J133" s="1" t="str">
        <f t="shared" ca="1" si="5"/>
        <v/>
      </c>
      <c r="K133" s="11" t="e">
        <f>Tabela2[[#This Row],[SLA
Padrão]]-Tabela2[[#This Row],[SLA Atendimento]]</f>
        <v>#VALUE!</v>
      </c>
      <c r="L133" s="11"/>
      <c r="O133" s="1" t="s">
        <v>30</v>
      </c>
      <c r="P133" s="2">
        <f>Tabela2[[#This Row],[Proposta
 Inicial]]-Tabela2[[#This Row],[Proposta
 Negociada]]</f>
        <v>0</v>
      </c>
      <c r="Q133" s="4" t="e">
        <f>Tabela2[[#This Row],[Proposta
 Negociada]]/Tabela2[[#This Row],[Proposta
 Inicial]]-1</f>
        <v>#DIV/0!</v>
      </c>
      <c r="S133"/>
    </row>
    <row r="134" spans="1:19" ht="14.45">
      <c r="A134" s="9"/>
      <c r="B134" s="9"/>
      <c r="C134" s="1" t="str">
        <f t="shared" si="6"/>
        <v/>
      </c>
      <c r="I134" s="1" t="str">
        <f>IFERROR(VLOOKUP(H134,SLA_Ref!$A$1:$B$8,2,FALSE),"")</f>
        <v/>
      </c>
      <c r="J134" s="1" t="str">
        <f t="shared" ca="1" si="5"/>
        <v/>
      </c>
      <c r="K134" s="11" t="e">
        <f>Tabela2[[#This Row],[SLA
Padrão]]-Tabela2[[#This Row],[SLA Atendimento]]</f>
        <v>#VALUE!</v>
      </c>
      <c r="L134" s="11"/>
      <c r="O134" s="1" t="s">
        <v>30</v>
      </c>
      <c r="P134" s="2">
        <f>Tabela2[[#This Row],[Proposta
 Inicial]]-Tabela2[[#This Row],[Proposta
 Negociada]]</f>
        <v>0</v>
      </c>
      <c r="Q134" s="4" t="e">
        <f>Tabela2[[#This Row],[Proposta
 Negociada]]/Tabela2[[#This Row],[Proposta
 Inicial]]-1</f>
        <v>#DIV/0!</v>
      </c>
      <c r="S134"/>
    </row>
    <row r="135" spans="1:19" ht="14.45">
      <c r="A135" s="9"/>
      <c r="B135" s="9"/>
      <c r="C135" s="1" t="str">
        <f t="shared" si="6"/>
        <v/>
      </c>
      <c r="I135" s="1" t="str">
        <f>IFERROR(VLOOKUP(H135,SLA_Ref!$A$1:$B$8,2,FALSE),"")</f>
        <v/>
      </c>
      <c r="J135" s="1" t="str">
        <f t="shared" ca="1" si="5"/>
        <v/>
      </c>
      <c r="K135" s="11" t="e">
        <f>Tabela2[[#This Row],[SLA
Padrão]]-Tabela2[[#This Row],[SLA Atendimento]]</f>
        <v>#VALUE!</v>
      </c>
      <c r="L135" s="11"/>
      <c r="O135" s="1" t="s">
        <v>30</v>
      </c>
      <c r="P135" s="2">
        <f>Tabela2[[#This Row],[Proposta
 Inicial]]-Tabela2[[#This Row],[Proposta
 Negociada]]</f>
        <v>0</v>
      </c>
      <c r="Q135" s="4" t="e">
        <f>Tabela2[[#This Row],[Proposta
 Negociada]]/Tabela2[[#This Row],[Proposta
 Inicial]]-1</f>
        <v>#DIV/0!</v>
      </c>
      <c r="S135"/>
    </row>
    <row r="136" spans="1:19" ht="14.45">
      <c r="A136" s="9"/>
      <c r="B136" s="9"/>
      <c r="C136" s="1" t="str">
        <f t="shared" si="6"/>
        <v/>
      </c>
      <c r="I136" s="1" t="str">
        <f>IFERROR(VLOOKUP(H136,SLA_Ref!$A$1:$B$8,2,FALSE),"")</f>
        <v/>
      </c>
      <c r="J136" s="1" t="str">
        <f t="shared" ca="1" si="5"/>
        <v/>
      </c>
      <c r="K136" s="11" t="e">
        <f>Tabela2[[#This Row],[SLA
Padrão]]-Tabela2[[#This Row],[SLA Atendimento]]</f>
        <v>#VALUE!</v>
      </c>
      <c r="L136" s="11"/>
      <c r="O136" s="1" t="s">
        <v>30</v>
      </c>
      <c r="P136" s="2">
        <f>Tabela2[[#This Row],[Proposta
 Inicial]]-Tabela2[[#This Row],[Proposta
 Negociada]]</f>
        <v>0</v>
      </c>
      <c r="Q136" s="4" t="e">
        <f>Tabela2[[#This Row],[Proposta
 Negociada]]/Tabela2[[#This Row],[Proposta
 Inicial]]-1</f>
        <v>#DIV/0!</v>
      </c>
      <c r="S136"/>
    </row>
    <row r="137" spans="1:19" ht="14.45">
      <c r="A137" s="9"/>
      <c r="B137" s="9"/>
      <c r="C137" s="1" t="str">
        <f t="shared" si="6"/>
        <v/>
      </c>
      <c r="I137" s="1" t="str">
        <f>IFERROR(VLOOKUP(H137,SLA_Ref!$A$1:$B$8,2,FALSE),"")</f>
        <v/>
      </c>
      <c r="J137" s="1" t="str">
        <f t="shared" ca="1" si="5"/>
        <v/>
      </c>
      <c r="K137" s="11" t="e">
        <f>Tabela2[[#This Row],[SLA
Padrão]]-Tabela2[[#This Row],[SLA Atendimento]]</f>
        <v>#VALUE!</v>
      </c>
      <c r="L137" s="11"/>
      <c r="O137" s="1" t="s">
        <v>30</v>
      </c>
      <c r="P137" s="2">
        <f>Tabela2[[#This Row],[Proposta
 Inicial]]-Tabela2[[#This Row],[Proposta
 Negociada]]</f>
        <v>0</v>
      </c>
      <c r="Q137" s="4" t="e">
        <f>Tabela2[[#This Row],[Proposta
 Negociada]]/Tabela2[[#This Row],[Proposta
 Inicial]]-1</f>
        <v>#DIV/0!</v>
      </c>
      <c r="S137"/>
    </row>
    <row r="138" spans="1:19" ht="14.45">
      <c r="A138" s="9"/>
      <c r="B138" s="9"/>
      <c r="C138" s="1" t="str">
        <f t="shared" si="6"/>
        <v/>
      </c>
      <c r="I138" s="1" t="str">
        <f>IFERROR(VLOOKUP(H138,SLA_Ref!$A$1:$B$8,2,FALSE),"")</f>
        <v/>
      </c>
      <c r="J138" s="1" t="str">
        <f t="shared" ca="1" si="5"/>
        <v/>
      </c>
      <c r="K138" s="11" t="e">
        <f>Tabela2[[#This Row],[SLA
Padrão]]-Tabela2[[#This Row],[SLA Atendimento]]</f>
        <v>#VALUE!</v>
      </c>
      <c r="L138" s="11"/>
      <c r="O138" s="1" t="s">
        <v>30</v>
      </c>
      <c r="P138" s="2">
        <f>Tabela2[[#This Row],[Proposta
 Inicial]]-Tabela2[[#This Row],[Proposta
 Negociada]]</f>
        <v>0</v>
      </c>
      <c r="Q138" s="4" t="e">
        <f>Tabela2[[#This Row],[Proposta
 Negociada]]/Tabela2[[#This Row],[Proposta
 Inicial]]-1</f>
        <v>#DIV/0!</v>
      </c>
      <c r="S138"/>
    </row>
    <row r="139" spans="1:19" ht="14.45">
      <c r="A139" s="9"/>
      <c r="B139" s="9"/>
      <c r="C139" s="1" t="str">
        <f t="shared" si="6"/>
        <v/>
      </c>
      <c r="I139" s="1" t="str">
        <f>IFERROR(VLOOKUP(H139,SLA_Ref!$A$1:$B$8,2,FALSE),"")</f>
        <v/>
      </c>
      <c r="J139" s="1" t="str">
        <f t="shared" ca="1" si="5"/>
        <v/>
      </c>
      <c r="K139" s="11" t="e">
        <f>Tabela2[[#This Row],[SLA
Padrão]]-Tabela2[[#This Row],[SLA Atendimento]]</f>
        <v>#VALUE!</v>
      </c>
      <c r="L139" s="11"/>
      <c r="O139" s="1" t="s">
        <v>30</v>
      </c>
      <c r="P139" s="2">
        <f>Tabela2[[#This Row],[Proposta
 Inicial]]-Tabela2[[#This Row],[Proposta
 Negociada]]</f>
        <v>0</v>
      </c>
      <c r="Q139" s="4" t="e">
        <f>Tabela2[[#This Row],[Proposta
 Negociada]]/Tabela2[[#This Row],[Proposta
 Inicial]]-1</f>
        <v>#DIV/0!</v>
      </c>
      <c r="S139"/>
    </row>
    <row r="140" spans="1:19" ht="14.45">
      <c r="A140" s="9"/>
      <c r="B140" s="9"/>
      <c r="C140" s="1" t="str">
        <f t="shared" si="6"/>
        <v/>
      </c>
      <c r="I140" s="1" t="str">
        <f>IFERROR(VLOOKUP(H140,SLA_Ref!$A$1:$B$8,2,FALSE),"")</f>
        <v/>
      </c>
      <c r="J140" s="1" t="str">
        <f t="shared" ca="1" si="5"/>
        <v/>
      </c>
      <c r="K140" s="11" t="e">
        <f>Tabela2[[#This Row],[SLA
Padrão]]-Tabela2[[#This Row],[SLA Atendimento]]</f>
        <v>#VALUE!</v>
      </c>
      <c r="L140" s="11"/>
      <c r="O140" s="1" t="s">
        <v>30</v>
      </c>
      <c r="P140" s="2">
        <f>Tabela2[[#This Row],[Proposta
 Inicial]]-Tabela2[[#This Row],[Proposta
 Negociada]]</f>
        <v>0</v>
      </c>
      <c r="Q140" s="4" t="e">
        <f>Tabela2[[#This Row],[Proposta
 Negociada]]/Tabela2[[#This Row],[Proposta
 Inicial]]-1</f>
        <v>#DIV/0!</v>
      </c>
      <c r="S140"/>
    </row>
    <row r="141" spans="1:19" ht="14.45">
      <c r="A141" s="9"/>
      <c r="B141" s="9"/>
      <c r="C141" s="1" t="str">
        <f t="shared" si="6"/>
        <v/>
      </c>
      <c r="I141" s="1" t="str">
        <f>IFERROR(VLOOKUP(H141,SLA_Ref!$A$1:$B$8,2,FALSE),"")</f>
        <v/>
      </c>
      <c r="J141" s="1" t="str">
        <f t="shared" ca="1" si="5"/>
        <v/>
      </c>
      <c r="K141" s="11" t="e">
        <f>Tabela2[[#This Row],[SLA
Padrão]]-Tabela2[[#This Row],[SLA Atendimento]]</f>
        <v>#VALUE!</v>
      </c>
      <c r="L141" s="11"/>
      <c r="O141" s="1" t="s">
        <v>30</v>
      </c>
      <c r="P141" s="2">
        <f>Tabela2[[#This Row],[Proposta
 Inicial]]-Tabela2[[#This Row],[Proposta
 Negociada]]</f>
        <v>0</v>
      </c>
      <c r="Q141" s="4" t="e">
        <f>Tabela2[[#This Row],[Proposta
 Negociada]]/Tabela2[[#This Row],[Proposta
 Inicial]]-1</f>
        <v>#DIV/0!</v>
      </c>
      <c r="S141"/>
    </row>
    <row r="142" spans="1:19" ht="14.45">
      <c r="A142" s="9"/>
      <c r="B142" s="9"/>
      <c r="C142" s="1" t="str">
        <f t="shared" si="6"/>
        <v/>
      </c>
      <c r="I142" s="1" t="str">
        <f>IFERROR(VLOOKUP(H142,SLA_Ref!$A$1:$B$8,2,FALSE),"")</f>
        <v/>
      </c>
      <c r="J142" s="1" t="str">
        <f t="shared" ca="1" si="5"/>
        <v/>
      </c>
      <c r="K142" s="11" t="e">
        <f>Tabela2[[#This Row],[SLA
Padrão]]-Tabela2[[#This Row],[SLA Atendimento]]</f>
        <v>#VALUE!</v>
      </c>
      <c r="L142" s="11"/>
      <c r="O142" s="1" t="s">
        <v>30</v>
      </c>
      <c r="P142" s="2">
        <f>Tabela2[[#This Row],[Proposta
 Inicial]]-Tabela2[[#This Row],[Proposta
 Negociada]]</f>
        <v>0</v>
      </c>
      <c r="Q142" s="4" t="e">
        <f>Tabela2[[#This Row],[Proposta
 Negociada]]/Tabela2[[#This Row],[Proposta
 Inicial]]-1</f>
        <v>#DIV/0!</v>
      </c>
      <c r="S142"/>
    </row>
    <row r="143" spans="1:19" ht="14.45">
      <c r="A143" s="9"/>
      <c r="B143" s="9"/>
      <c r="C143" s="1" t="str">
        <f t="shared" si="6"/>
        <v/>
      </c>
      <c r="I143" s="1" t="str">
        <f>IFERROR(VLOOKUP(H143,SLA_Ref!$A$1:$B$8,2,FALSE),"")</f>
        <v/>
      </c>
      <c r="J143" s="1" t="str">
        <f t="shared" ca="1" si="5"/>
        <v/>
      </c>
      <c r="K143" s="11" t="e">
        <f>Tabela2[[#This Row],[SLA
Padrão]]-Tabela2[[#This Row],[SLA Atendimento]]</f>
        <v>#VALUE!</v>
      </c>
      <c r="L143" s="11"/>
      <c r="O143" s="1" t="s">
        <v>30</v>
      </c>
      <c r="P143" s="2">
        <f>Tabela2[[#This Row],[Proposta
 Inicial]]-Tabela2[[#This Row],[Proposta
 Negociada]]</f>
        <v>0</v>
      </c>
      <c r="Q143" s="4" t="e">
        <f>Tabela2[[#This Row],[Proposta
 Negociada]]/Tabela2[[#This Row],[Proposta
 Inicial]]-1</f>
        <v>#DIV/0!</v>
      </c>
      <c r="S143"/>
    </row>
    <row r="144" spans="1:19" ht="14.45">
      <c r="A144" s="9"/>
      <c r="B144" s="9"/>
      <c r="C144" s="1" t="str">
        <f t="shared" si="6"/>
        <v/>
      </c>
      <c r="I144" s="1" t="str">
        <f>IFERROR(VLOOKUP(H144,SLA_Ref!$A$1:$B$8,2,FALSE),"")</f>
        <v/>
      </c>
      <c r="J144" s="1" t="str">
        <f t="shared" ca="1" si="5"/>
        <v/>
      </c>
      <c r="K144" s="11" t="e">
        <f>Tabela2[[#This Row],[SLA
Padrão]]-Tabela2[[#This Row],[SLA Atendimento]]</f>
        <v>#VALUE!</v>
      </c>
      <c r="L144" s="11"/>
      <c r="O144" s="1" t="s">
        <v>30</v>
      </c>
      <c r="P144" s="2">
        <f>Tabela2[[#This Row],[Proposta
 Inicial]]-Tabela2[[#This Row],[Proposta
 Negociada]]</f>
        <v>0</v>
      </c>
      <c r="Q144" s="4" t="e">
        <f>Tabela2[[#This Row],[Proposta
 Negociada]]/Tabela2[[#This Row],[Proposta
 Inicial]]-1</f>
        <v>#DIV/0!</v>
      </c>
      <c r="S144"/>
    </row>
    <row r="145" spans="1:19" ht="14.45">
      <c r="A145" s="9"/>
      <c r="B145" s="9"/>
      <c r="C145" s="1" t="str">
        <f t="shared" si="6"/>
        <v/>
      </c>
      <c r="I145" s="1" t="str">
        <f>IFERROR(VLOOKUP(H145,SLA_Ref!$A$1:$B$8,2,FALSE),"")</f>
        <v/>
      </c>
      <c r="J145" s="1" t="str">
        <f t="shared" ca="1" si="5"/>
        <v/>
      </c>
      <c r="K145" s="11" t="e">
        <f>Tabela2[[#This Row],[SLA
Padrão]]-Tabela2[[#This Row],[SLA Atendimento]]</f>
        <v>#VALUE!</v>
      </c>
      <c r="L145" s="11"/>
      <c r="O145" s="1" t="s">
        <v>30</v>
      </c>
      <c r="P145" s="2">
        <f>Tabela2[[#This Row],[Proposta
 Inicial]]-Tabela2[[#This Row],[Proposta
 Negociada]]</f>
        <v>0</v>
      </c>
      <c r="Q145" s="4" t="e">
        <f>Tabela2[[#This Row],[Proposta
 Negociada]]/Tabela2[[#This Row],[Proposta
 Inicial]]-1</f>
        <v>#DIV/0!</v>
      </c>
      <c r="S145"/>
    </row>
    <row r="146" spans="1:19" ht="14.45">
      <c r="A146" s="9"/>
      <c r="B146" s="9"/>
      <c r="C146" s="1" t="str">
        <f t="shared" si="6"/>
        <v/>
      </c>
      <c r="I146" s="1" t="str">
        <f>IFERROR(VLOOKUP(H146,SLA_Ref!$A$1:$B$8,2,FALSE),"")</f>
        <v/>
      </c>
      <c r="J146" s="1" t="str">
        <f t="shared" ca="1" si="5"/>
        <v/>
      </c>
      <c r="K146" s="11" t="e">
        <f>Tabela2[[#This Row],[SLA
Padrão]]-Tabela2[[#This Row],[SLA Atendimento]]</f>
        <v>#VALUE!</v>
      </c>
      <c r="L146" s="11"/>
      <c r="O146" s="1" t="s">
        <v>30</v>
      </c>
      <c r="P146" s="2">
        <f>Tabela2[[#This Row],[Proposta
 Inicial]]-Tabela2[[#This Row],[Proposta
 Negociada]]</f>
        <v>0</v>
      </c>
      <c r="Q146" s="4" t="e">
        <f>Tabela2[[#This Row],[Proposta
 Negociada]]/Tabela2[[#This Row],[Proposta
 Inicial]]-1</f>
        <v>#DIV/0!</v>
      </c>
      <c r="S146"/>
    </row>
    <row r="147" spans="1:19" ht="14.45">
      <c r="A147" s="9"/>
      <c r="B147" s="9"/>
      <c r="C147" s="1" t="str">
        <f t="shared" si="6"/>
        <v/>
      </c>
      <c r="I147" s="1" t="str">
        <f>IFERROR(VLOOKUP(H147,SLA_Ref!$A$1:$B$8,2,FALSE),"")</f>
        <v/>
      </c>
      <c r="J147" s="1" t="str">
        <f t="shared" ca="1" si="5"/>
        <v/>
      </c>
      <c r="K147" s="11" t="e">
        <f>Tabela2[[#This Row],[SLA
Padrão]]-Tabela2[[#This Row],[SLA Atendimento]]</f>
        <v>#VALUE!</v>
      </c>
      <c r="L147" s="11"/>
      <c r="O147" s="1" t="s">
        <v>30</v>
      </c>
      <c r="P147" s="2">
        <f>Tabela2[[#This Row],[Proposta
 Inicial]]-Tabela2[[#This Row],[Proposta
 Negociada]]</f>
        <v>0</v>
      </c>
      <c r="Q147" s="4" t="e">
        <f>Tabela2[[#This Row],[Proposta
 Negociada]]/Tabela2[[#This Row],[Proposta
 Inicial]]-1</f>
        <v>#DIV/0!</v>
      </c>
      <c r="S147"/>
    </row>
    <row r="148" spans="1:19" ht="14.45">
      <c r="A148" s="9"/>
      <c r="B148" s="9"/>
      <c r="C148" s="1" t="str">
        <f t="shared" si="6"/>
        <v/>
      </c>
      <c r="I148" s="1" t="str">
        <f>IFERROR(VLOOKUP(H148,SLA_Ref!$A$1:$B$8,2,FALSE),"")</f>
        <v/>
      </c>
      <c r="J148" s="1" t="str">
        <f t="shared" ca="1" si="5"/>
        <v/>
      </c>
      <c r="K148" s="11" t="e">
        <f>Tabela2[[#This Row],[SLA
Padrão]]-Tabela2[[#This Row],[SLA Atendimento]]</f>
        <v>#VALUE!</v>
      </c>
      <c r="L148" s="11"/>
      <c r="O148" s="1" t="s">
        <v>30</v>
      </c>
      <c r="P148" s="2">
        <f>Tabela2[[#This Row],[Proposta
 Inicial]]-Tabela2[[#This Row],[Proposta
 Negociada]]</f>
        <v>0</v>
      </c>
      <c r="Q148" s="4" t="e">
        <f>Tabela2[[#This Row],[Proposta
 Negociada]]/Tabela2[[#This Row],[Proposta
 Inicial]]-1</f>
        <v>#DIV/0!</v>
      </c>
      <c r="S148"/>
    </row>
    <row r="149" spans="1:19" ht="14.45">
      <c r="A149" s="9"/>
      <c r="B149" s="9"/>
      <c r="C149" s="1" t="str">
        <f t="shared" si="6"/>
        <v/>
      </c>
      <c r="I149" s="1" t="str">
        <f>IFERROR(VLOOKUP(H149,SLA_Ref!$A$1:$B$8,2,FALSE),"")</f>
        <v/>
      </c>
      <c r="J149" s="1" t="str">
        <f t="shared" ca="1" si="5"/>
        <v/>
      </c>
      <c r="K149" s="11" t="e">
        <f>Tabela2[[#This Row],[SLA
Padrão]]-Tabela2[[#This Row],[SLA Atendimento]]</f>
        <v>#VALUE!</v>
      </c>
      <c r="L149" s="11"/>
      <c r="O149" s="1" t="s">
        <v>30</v>
      </c>
      <c r="P149" s="2">
        <f>Tabela2[[#This Row],[Proposta
 Inicial]]-Tabela2[[#This Row],[Proposta
 Negociada]]</f>
        <v>0</v>
      </c>
      <c r="Q149" s="4" t="e">
        <f>Tabela2[[#This Row],[Proposta
 Negociada]]/Tabela2[[#This Row],[Proposta
 Inicial]]-1</f>
        <v>#DIV/0!</v>
      </c>
      <c r="S149"/>
    </row>
    <row r="150" spans="1:19" ht="14.45">
      <c r="A150" s="9"/>
      <c r="B150" s="9"/>
      <c r="C150" s="1" t="str">
        <f t="shared" si="6"/>
        <v/>
      </c>
      <c r="I150" s="1" t="str">
        <f>IFERROR(VLOOKUP(H150,SLA_Ref!$A$1:$B$8,2,FALSE),"")</f>
        <v/>
      </c>
      <c r="J150" s="1" t="str">
        <f t="shared" ca="1" si="5"/>
        <v/>
      </c>
      <c r="K150" s="11" t="e">
        <f>Tabela2[[#This Row],[SLA
Padrão]]-Tabela2[[#This Row],[SLA Atendimento]]</f>
        <v>#VALUE!</v>
      </c>
      <c r="L150" s="11"/>
      <c r="O150" s="1" t="s">
        <v>30</v>
      </c>
      <c r="P150" s="2">
        <f>Tabela2[[#This Row],[Proposta
 Inicial]]-Tabela2[[#This Row],[Proposta
 Negociada]]</f>
        <v>0</v>
      </c>
      <c r="Q150" s="4" t="e">
        <f>Tabela2[[#This Row],[Proposta
 Negociada]]/Tabela2[[#This Row],[Proposta
 Inicial]]-1</f>
        <v>#DIV/0!</v>
      </c>
      <c r="S150"/>
    </row>
    <row r="151" spans="1:19" ht="14.45">
      <c r="A151" s="9"/>
      <c r="B151" s="9"/>
      <c r="C151" s="1" t="str">
        <f t="shared" si="6"/>
        <v/>
      </c>
      <c r="I151" s="1" t="str">
        <f>IFERROR(VLOOKUP(H151,SLA_Ref!$A$1:$B$8,2,FALSE),"")</f>
        <v/>
      </c>
      <c r="J151" s="1" t="str">
        <f t="shared" ca="1" si="5"/>
        <v/>
      </c>
      <c r="K151" s="11" t="e">
        <f>Tabela2[[#This Row],[SLA
Padrão]]-Tabela2[[#This Row],[SLA Atendimento]]</f>
        <v>#VALUE!</v>
      </c>
      <c r="L151" s="11"/>
      <c r="O151" s="1" t="s">
        <v>30</v>
      </c>
      <c r="P151" s="2">
        <f>Tabela2[[#This Row],[Proposta
 Inicial]]-Tabela2[[#This Row],[Proposta
 Negociada]]</f>
        <v>0</v>
      </c>
      <c r="Q151" s="4" t="e">
        <f>Tabela2[[#This Row],[Proposta
 Negociada]]/Tabela2[[#This Row],[Proposta
 Inicial]]-1</f>
        <v>#DIV/0!</v>
      </c>
      <c r="S151"/>
    </row>
    <row r="152" spans="1:19" ht="14.45">
      <c r="A152" s="9"/>
      <c r="B152" s="9"/>
      <c r="C152" s="1" t="str">
        <f t="shared" si="6"/>
        <v/>
      </c>
      <c r="I152" s="1" t="str">
        <f>IFERROR(VLOOKUP(H152,SLA_Ref!$A$1:$B$8,2,FALSE),"")</f>
        <v/>
      </c>
      <c r="J152" s="1" t="str">
        <f t="shared" ca="1" si="5"/>
        <v/>
      </c>
      <c r="K152" s="11" t="e">
        <f>Tabela2[[#This Row],[SLA
Padrão]]-Tabela2[[#This Row],[SLA Atendimento]]</f>
        <v>#VALUE!</v>
      </c>
      <c r="L152" s="11"/>
      <c r="O152" s="1" t="s">
        <v>30</v>
      </c>
      <c r="P152" s="2">
        <f>Tabela2[[#This Row],[Proposta
 Inicial]]-Tabela2[[#This Row],[Proposta
 Negociada]]</f>
        <v>0</v>
      </c>
      <c r="Q152" s="4" t="e">
        <f>Tabela2[[#This Row],[Proposta
 Negociada]]/Tabela2[[#This Row],[Proposta
 Inicial]]-1</f>
        <v>#DIV/0!</v>
      </c>
      <c r="S152"/>
    </row>
    <row r="153" spans="1:19" ht="14.45">
      <c r="A153" s="9"/>
      <c r="B153" s="9"/>
      <c r="C153" s="1" t="str">
        <f t="shared" si="6"/>
        <v/>
      </c>
      <c r="I153" s="1" t="str">
        <f>IFERROR(VLOOKUP(H153,SLA_Ref!$A$1:$B$8,2,FALSE),"")</f>
        <v/>
      </c>
      <c r="J153" s="1" t="str">
        <f t="shared" ca="1" si="5"/>
        <v/>
      </c>
      <c r="K153" s="11" t="e">
        <f>Tabela2[[#This Row],[SLA
Padrão]]-Tabela2[[#This Row],[SLA Atendimento]]</f>
        <v>#VALUE!</v>
      </c>
      <c r="L153" s="11"/>
      <c r="O153" s="1" t="s">
        <v>30</v>
      </c>
      <c r="P153" s="2">
        <f>Tabela2[[#This Row],[Proposta
 Inicial]]-Tabela2[[#This Row],[Proposta
 Negociada]]</f>
        <v>0</v>
      </c>
      <c r="Q153" s="4" t="e">
        <f>Tabela2[[#This Row],[Proposta
 Negociada]]/Tabela2[[#This Row],[Proposta
 Inicial]]-1</f>
        <v>#DIV/0!</v>
      </c>
      <c r="S153"/>
    </row>
    <row r="154" spans="1:19" ht="14.45">
      <c r="A154" s="9"/>
      <c r="B154" s="9"/>
      <c r="C154" s="1" t="str">
        <f t="shared" si="6"/>
        <v/>
      </c>
      <c r="I154" s="1" t="str">
        <f>IFERROR(VLOOKUP(H154,SLA_Ref!$A$1:$B$8,2,FALSE),"")</f>
        <v/>
      </c>
      <c r="J154" s="1" t="str">
        <f t="shared" ca="1" si="5"/>
        <v/>
      </c>
      <c r="K154" s="11" t="e">
        <f>Tabela2[[#This Row],[SLA
Padrão]]-Tabela2[[#This Row],[SLA Atendimento]]</f>
        <v>#VALUE!</v>
      </c>
      <c r="L154" s="11"/>
      <c r="O154" s="1" t="s">
        <v>30</v>
      </c>
      <c r="P154" s="2">
        <f>Tabela2[[#This Row],[Proposta
 Inicial]]-Tabela2[[#This Row],[Proposta
 Negociada]]</f>
        <v>0</v>
      </c>
      <c r="Q154" s="4" t="e">
        <f>Tabela2[[#This Row],[Proposta
 Negociada]]/Tabela2[[#This Row],[Proposta
 Inicial]]-1</f>
        <v>#DIV/0!</v>
      </c>
      <c r="S154"/>
    </row>
    <row r="155" spans="1:19" ht="14.45">
      <c r="A155" s="9"/>
      <c r="B155" s="9"/>
      <c r="C155" s="1" t="str">
        <f t="shared" si="6"/>
        <v/>
      </c>
      <c r="I155" s="1" t="str">
        <f>IFERROR(VLOOKUP(H155,SLA_Ref!$A$1:$B$8,2,FALSE),"")</f>
        <v/>
      </c>
      <c r="J155" s="1" t="str">
        <f t="shared" ca="1" si="5"/>
        <v/>
      </c>
      <c r="K155" s="11" t="e">
        <f>Tabela2[[#This Row],[SLA
Padrão]]-Tabela2[[#This Row],[SLA Atendimento]]</f>
        <v>#VALUE!</v>
      </c>
      <c r="L155" s="11"/>
      <c r="O155" s="1" t="s">
        <v>30</v>
      </c>
      <c r="P155" s="2">
        <f>Tabela2[[#This Row],[Proposta
 Inicial]]-Tabela2[[#This Row],[Proposta
 Negociada]]</f>
        <v>0</v>
      </c>
      <c r="Q155" s="4" t="e">
        <f>Tabela2[[#This Row],[Proposta
 Negociada]]/Tabela2[[#This Row],[Proposta
 Inicial]]-1</f>
        <v>#DIV/0!</v>
      </c>
      <c r="S155"/>
    </row>
    <row r="156" spans="1:19" ht="14.45">
      <c r="A156" s="9"/>
      <c r="B156" s="9"/>
      <c r="C156" s="1" t="str">
        <f t="shared" si="6"/>
        <v/>
      </c>
      <c r="I156" s="1" t="str">
        <f>IFERROR(VLOOKUP(H156,SLA_Ref!$A$1:$B$8,2,FALSE),"")</f>
        <v/>
      </c>
      <c r="J156" s="1" t="str">
        <f t="shared" ca="1" si="5"/>
        <v/>
      </c>
      <c r="K156" s="11" t="e">
        <f>Tabela2[[#This Row],[SLA
Padrão]]-Tabela2[[#This Row],[SLA Atendimento]]</f>
        <v>#VALUE!</v>
      </c>
      <c r="L156" s="11"/>
      <c r="O156" s="1" t="s">
        <v>30</v>
      </c>
      <c r="P156" s="2">
        <f>Tabela2[[#This Row],[Proposta
 Inicial]]-Tabela2[[#This Row],[Proposta
 Negociada]]</f>
        <v>0</v>
      </c>
      <c r="Q156" s="4" t="e">
        <f>Tabela2[[#This Row],[Proposta
 Negociada]]/Tabela2[[#This Row],[Proposta
 Inicial]]-1</f>
        <v>#DIV/0!</v>
      </c>
      <c r="S156"/>
    </row>
    <row r="157" spans="1:19" ht="14.45">
      <c r="A157" s="9"/>
      <c r="B157" s="9"/>
      <c r="C157" s="1" t="str">
        <f t="shared" si="6"/>
        <v/>
      </c>
      <c r="I157" s="1" t="str">
        <f>IFERROR(VLOOKUP(H157,SLA_Ref!$A$1:$B$8,2,FALSE),"")</f>
        <v/>
      </c>
      <c r="J157" s="1" t="str">
        <f t="shared" ca="1" si="5"/>
        <v/>
      </c>
      <c r="K157" s="11" t="e">
        <f>Tabela2[[#This Row],[SLA
Padrão]]-Tabela2[[#This Row],[SLA Atendimento]]</f>
        <v>#VALUE!</v>
      </c>
      <c r="L157" s="11"/>
      <c r="O157" s="1" t="s">
        <v>30</v>
      </c>
      <c r="P157" s="2">
        <f>Tabela2[[#This Row],[Proposta
 Inicial]]-Tabela2[[#This Row],[Proposta
 Negociada]]</f>
        <v>0</v>
      </c>
      <c r="Q157" s="4" t="e">
        <f>Tabela2[[#This Row],[Proposta
 Negociada]]/Tabela2[[#This Row],[Proposta
 Inicial]]-1</f>
        <v>#DIV/0!</v>
      </c>
      <c r="S157"/>
    </row>
    <row r="158" spans="1:19" ht="14.45">
      <c r="A158" s="9"/>
      <c r="B158" s="9"/>
      <c r="C158" s="1" t="str">
        <f t="shared" si="6"/>
        <v/>
      </c>
      <c r="I158" s="1" t="str">
        <f>IFERROR(VLOOKUP(H158,SLA_Ref!$A$1:$B$8,2,FALSE),"")</f>
        <v/>
      </c>
      <c r="J158" s="1" t="str">
        <f t="shared" ca="1" si="5"/>
        <v/>
      </c>
      <c r="K158" s="11" t="e">
        <f>Tabela2[[#This Row],[SLA
Padrão]]-Tabela2[[#This Row],[SLA Atendimento]]</f>
        <v>#VALUE!</v>
      </c>
      <c r="L158" s="11"/>
      <c r="O158" s="1" t="s">
        <v>30</v>
      </c>
      <c r="P158" s="2">
        <f>Tabela2[[#This Row],[Proposta
 Inicial]]-Tabela2[[#This Row],[Proposta
 Negociada]]</f>
        <v>0</v>
      </c>
      <c r="Q158" s="4" t="e">
        <f>Tabela2[[#This Row],[Proposta
 Negociada]]/Tabela2[[#This Row],[Proposta
 Inicial]]-1</f>
        <v>#DIV/0!</v>
      </c>
      <c r="S158"/>
    </row>
    <row r="159" spans="1:19" ht="14.45">
      <c r="A159" s="9"/>
      <c r="B159" s="9"/>
      <c r="C159" s="1" t="str">
        <f t="shared" si="6"/>
        <v/>
      </c>
      <c r="I159" s="1" t="str">
        <f>IFERROR(VLOOKUP(H159,SLA_Ref!$A$1:$B$8,2,FALSE),"")</f>
        <v/>
      </c>
      <c r="J159" s="1" t="str">
        <f t="shared" ca="1" si="5"/>
        <v/>
      </c>
      <c r="K159" s="11" t="e">
        <f>Tabela2[[#This Row],[SLA
Padrão]]-Tabela2[[#This Row],[SLA Atendimento]]</f>
        <v>#VALUE!</v>
      </c>
      <c r="L159" s="11"/>
      <c r="O159" s="1" t="s">
        <v>30</v>
      </c>
      <c r="P159" s="2">
        <f>Tabela2[[#This Row],[Proposta
 Inicial]]-Tabela2[[#This Row],[Proposta
 Negociada]]</f>
        <v>0</v>
      </c>
      <c r="Q159" s="4" t="e">
        <f>Tabela2[[#This Row],[Proposta
 Negociada]]/Tabela2[[#This Row],[Proposta
 Inicial]]-1</f>
        <v>#DIV/0!</v>
      </c>
      <c r="S159"/>
    </row>
    <row r="160" spans="1:19" ht="14.45">
      <c r="A160" s="9"/>
      <c r="B160" s="9"/>
      <c r="C160" s="1" t="str">
        <f t="shared" si="6"/>
        <v/>
      </c>
      <c r="I160" s="1" t="str">
        <f>IFERROR(VLOOKUP(H160,SLA_Ref!$A$1:$B$8,2,FALSE),"")</f>
        <v/>
      </c>
      <c r="J160" s="1" t="str">
        <f t="shared" ca="1" si="5"/>
        <v/>
      </c>
      <c r="K160" s="11" t="e">
        <f>Tabela2[[#This Row],[SLA
Padrão]]-Tabela2[[#This Row],[SLA Atendimento]]</f>
        <v>#VALUE!</v>
      </c>
      <c r="L160" s="11"/>
      <c r="O160" s="1" t="s">
        <v>30</v>
      </c>
      <c r="P160" s="2">
        <f>Tabela2[[#This Row],[Proposta
 Inicial]]-Tabela2[[#This Row],[Proposta
 Negociada]]</f>
        <v>0</v>
      </c>
      <c r="Q160" s="4" t="e">
        <f>Tabela2[[#This Row],[Proposta
 Negociada]]/Tabela2[[#This Row],[Proposta
 Inicial]]-1</f>
        <v>#DIV/0!</v>
      </c>
      <c r="S160"/>
    </row>
    <row r="161" spans="1:19" ht="14.45">
      <c r="A161" s="9"/>
      <c r="B161" s="9"/>
      <c r="C161" s="1" t="str">
        <f t="shared" si="6"/>
        <v/>
      </c>
      <c r="I161" s="1" t="str">
        <f>IFERROR(VLOOKUP(H161,SLA_Ref!$A$1:$B$8,2,FALSE),"")</f>
        <v/>
      </c>
      <c r="J161" s="1" t="str">
        <f t="shared" ca="1" si="5"/>
        <v/>
      </c>
      <c r="K161" s="11" t="e">
        <f>Tabela2[[#This Row],[SLA
Padrão]]-Tabela2[[#This Row],[SLA Atendimento]]</f>
        <v>#VALUE!</v>
      </c>
      <c r="L161" s="11"/>
      <c r="O161" s="1" t="s">
        <v>30</v>
      </c>
      <c r="P161" s="2">
        <f>Tabela2[[#This Row],[Proposta
 Inicial]]-Tabela2[[#This Row],[Proposta
 Negociada]]</f>
        <v>0</v>
      </c>
      <c r="Q161" s="4" t="e">
        <f>Tabela2[[#This Row],[Proposta
 Negociada]]/Tabela2[[#This Row],[Proposta
 Inicial]]-1</f>
        <v>#DIV/0!</v>
      </c>
      <c r="S161"/>
    </row>
    <row r="162" spans="1:19" ht="14.45">
      <c r="A162" s="9"/>
      <c r="B162" s="9"/>
      <c r="C162" s="1" t="str">
        <f t="shared" si="6"/>
        <v/>
      </c>
      <c r="I162" s="1" t="str">
        <f>IFERROR(VLOOKUP(H162,SLA_Ref!$A$1:$B$8,2,FALSE),"")</f>
        <v/>
      </c>
      <c r="J162" s="1" t="str">
        <f t="shared" ca="1" si="5"/>
        <v/>
      </c>
      <c r="K162" s="11" t="e">
        <f>Tabela2[[#This Row],[SLA
Padrão]]-Tabela2[[#This Row],[SLA Atendimento]]</f>
        <v>#VALUE!</v>
      </c>
      <c r="L162" s="11"/>
      <c r="O162" s="1" t="s">
        <v>30</v>
      </c>
      <c r="P162" s="2">
        <f>Tabela2[[#This Row],[Proposta
 Inicial]]-Tabela2[[#This Row],[Proposta
 Negociada]]</f>
        <v>0</v>
      </c>
      <c r="Q162" s="4" t="e">
        <f>Tabela2[[#This Row],[Proposta
 Negociada]]/Tabela2[[#This Row],[Proposta
 Inicial]]-1</f>
        <v>#DIV/0!</v>
      </c>
      <c r="S162"/>
    </row>
    <row r="163" spans="1:19" ht="14.45">
      <c r="A163" s="9"/>
      <c r="B163" s="9"/>
      <c r="C163" s="1" t="str">
        <f t="shared" si="6"/>
        <v/>
      </c>
      <c r="I163" s="1" t="str">
        <f>IFERROR(VLOOKUP(H163,SLA_Ref!$A$1:$B$8,2,FALSE),"")</f>
        <v/>
      </c>
      <c r="J163" s="1" t="str">
        <f t="shared" ca="1" si="5"/>
        <v/>
      </c>
      <c r="K163" s="11" t="e">
        <f>Tabela2[[#This Row],[SLA
Padrão]]-Tabela2[[#This Row],[SLA Atendimento]]</f>
        <v>#VALUE!</v>
      </c>
      <c r="L163" s="11"/>
      <c r="O163" s="1" t="s">
        <v>30</v>
      </c>
      <c r="P163" s="2">
        <f>Tabela2[[#This Row],[Proposta
 Inicial]]-Tabela2[[#This Row],[Proposta
 Negociada]]</f>
        <v>0</v>
      </c>
      <c r="Q163" s="4" t="e">
        <f>Tabela2[[#This Row],[Proposta
 Negociada]]/Tabela2[[#This Row],[Proposta
 Inicial]]-1</f>
        <v>#DIV/0!</v>
      </c>
      <c r="S163"/>
    </row>
    <row r="164" spans="1:19" ht="14.45">
      <c r="A164" s="9"/>
      <c r="B164" s="9"/>
      <c r="C164" s="1" t="str">
        <f t="shared" si="6"/>
        <v/>
      </c>
      <c r="I164" s="1" t="str">
        <f>IFERROR(VLOOKUP(H164,SLA_Ref!$A$1:$B$8,2,FALSE),"")</f>
        <v/>
      </c>
      <c r="J164" s="1" t="str">
        <f t="shared" ca="1" si="5"/>
        <v/>
      </c>
      <c r="K164" s="11" t="e">
        <f>Tabela2[[#This Row],[SLA
Padrão]]-Tabela2[[#This Row],[SLA Atendimento]]</f>
        <v>#VALUE!</v>
      </c>
      <c r="L164" s="11"/>
      <c r="O164" s="1" t="s">
        <v>30</v>
      </c>
      <c r="P164" s="2">
        <f>Tabela2[[#This Row],[Proposta
 Inicial]]-Tabela2[[#This Row],[Proposta
 Negociada]]</f>
        <v>0</v>
      </c>
      <c r="Q164" s="4" t="e">
        <f>Tabela2[[#This Row],[Proposta
 Negociada]]/Tabela2[[#This Row],[Proposta
 Inicial]]-1</f>
        <v>#DIV/0!</v>
      </c>
      <c r="S164"/>
    </row>
    <row r="165" spans="1:19" ht="14.45">
      <c r="A165" s="9"/>
      <c r="B165" s="9"/>
      <c r="C165" s="1" t="str">
        <f t="shared" si="6"/>
        <v/>
      </c>
      <c r="I165" s="1" t="str">
        <f>IFERROR(VLOOKUP(H165,SLA_Ref!$A$1:$B$8,2,FALSE),"")</f>
        <v/>
      </c>
      <c r="J165" s="1" t="str">
        <f t="shared" ca="1" si="5"/>
        <v/>
      </c>
      <c r="K165" s="11" t="e">
        <f>Tabela2[[#This Row],[SLA
Padrão]]-Tabela2[[#This Row],[SLA Atendimento]]</f>
        <v>#VALUE!</v>
      </c>
      <c r="L165" s="11"/>
      <c r="O165" s="1" t="s">
        <v>30</v>
      </c>
      <c r="P165" s="2">
        <f>Tabela2[[#This Row],[Proposta
 Inicial]]-Tabela2[[#This Row],[Proposta
 Negociada]]</f>
        <v>0</v>
      </c>
      <c r="Q165" s="4" t="e">
        <f>Tabela2[[#This Row],[Proposta
 Negociada]]/Tabela2[[#This Row],[Proposta
 Inicial]]-1</f>
        <v>#DIV/0!</v>
      </c>
      <c r="S165"/>
    </row>
    <row r="166" spans="1:19" ht="14.45">
      <c r="A166" s="9"/>
      <c r="B166" s="9"/>
      <c r="C166" s="1" t="str">
        <f t="shared" si="6"/>
        <v/>
      </c>
      <c r="I166" s="1" t="str">
        <f>IFERROR(VLOOKUP(H166,SLA_Ref!$A$1:$B$8,2,FALSE),"")</f>
        <v/>
      </c>
      <c r="J166" s="1" t="str">
        <f t="shared" ca="1" si="5"/>
        <v/>
      </c>
      <c r="K166" s="11" t="e">
        <f>Tabela2[[#This Row],[SLA
Padrão]]-Tabela2[[#This Row],[SLA Atendimento]]</f>
        <v>#VALUE!</v>
      </c>
      <c r="L166" s="11"/>
      <c r="O166" s="1" t="s">
        <v>30</v>
      </c>
      <c r="P166" s="2">
        <f>Tabela2[[#This Row],[Proposta
 Inicial]]-Tabela2[[#This Row],[Proposta
 Negociada]]</f>
        <v>0</v>
      </c>
      <c r="Q166" s="4" t="e">
        <f>Tabela2[[#This Row],[Proposta
 Negociada]]/Tabela2[[#This Row],[Proposta
 Inicial]]-1</f>
        <v>#DIV/0!</v>
      </c>
      <c r="S166"/>
    </row>
    <row r="167" spans="1:19" ht="14.45">
      <c r="A167" s="9"/>
      <c r="B167" s="9"/>
      <c r="C167" s="1" t="str">
        <f t="shared" si="6"/>
        <v/>
      </c>
      <c r="I167" s="1" t="str">
        <f>IFERROR(VLOOKUP(H167,SLA_Ref!$A$1:$B$8,2,FALSE),"")</f>
        <v/>
      </c>
      <c r="J167" s="1" t="str">
        <f t="shared" ca="1" si="5"/>
        <v/>
      </c>
      <c r="K167" s="11" t="e">
        <f>Tabela2[[#This Row],[SLA
Padrão]]-Tabela2[[#This Row],[SLA Atendimento]]</f>
        <v>#VALUE!</v>
      </c>
      <c r="L167" s="11"/>
      <c r="O167" s="1" t="s">
        <v>30</v>
      </c>
      <c r="P167" s="2">
        <f>Tabela2[[#This Row],[Proposta
 Inicial]]-Tabela2[[#This Row],[Proposta
 Negociada]]</f>
        <v>0</v>
      </c>
      <c r="Q167" s="4" t="e">
        <f>Tabela2[[#This Row],[Proposta
 Negociada]]/Tabela2[[#This Row],[Proposta
 Inicial]]-1</f>
        <v>#DIV/0!</v>
      </c>
      <c r="S167"/>
    </row>
    <row r="168" spans="1:19" ht="14.45">
      <c r="A168" s="9"/>
      <c r="B168" s="9"/>
      <c r="C168" s="1" t="str">
        <f t="shared" si="6"/>
        <v/>
      </c>
      <c r="I168" s="1" t="str">
        <f>IFERROR(VLOOKUP(H168,SLA_Ref!$A$1:$B$8,2,FALSE),"")</f>
        <v/>
      </c>
      <c r="J168" s="1" t="str">
        <f t="shared" ca="1" si="5"/>
        <v/>
      </c>
      <c r="K168" s="11" t="e">
        <f>Tabela2[[#This Row],[SLA
Padrão]]-Tabela2[[#This Row],[SLA Atendimento]]</f>
        <v>#VALUE!</v>
      </c>
      <c r="L168" s="11"/>
      <c r="O168" s="1" t="s">
        <v>30</v>
      </c>
      <c r="P168" s="2">
        <f>Tabela2[[#This Row],[Proposta
 Inicial]]-Tabela2[[#This Row],[Proposta
 Negociada]]</f>
        <v>0</v>
      </c>
      <c r="Q168" s="4" t="e">
        <f>Tabela2[[#This Row],[Proposta
 Negociada]]/Tabela2[[#This Row],[Proposta
 Inicial]]-1</f>
        <v>#DIV/0!</v>
      </c>
      <c r="S168"/>
    </row>
    <row r="169" spans="1:19" ht="14.45">
      <c r="A169" s="9"/>
      <c r="B169" s="9"/>
      <c r="C169" s="1" t="str">
        <f t="shared" si="6"/>
        <v/>
      </c>
      <c r="I169" s="1" t="str">
        <f>IFERROR(VLOOKUP(H169,SLA_Ref!$A$1:$B$8,2,FALSE),"")</f>
        <v/>
      </c>
      <c r="J169" s="1" t="str">
        <f t="shared" ca="1" si="5"/>
        <v/>
      </c>
      <c r="K169" s="11" t="e">
        <f>Tabela2[[#This Row],[SLA
Padrão]]-Tabela2[[#This Row],[SLA Atendimento]]</f>
        <v>#VALUE!</v>
      </c>
      <c r="L169" s="11"/>
      <c r="O169" s="1" t="s">
        <v>30</v>
      </c>
      <c r="P169" s="2">
        <f>Tabela2[[#This Row],[Proposta
 Inicial]]-Tabela2[[#This Row],[Proposta
 Negociada]]</f>
        <v>0</v>
      </c>
      <c r="Q169" s="4" t="e">
        <f>Tabela2[[#This Row],[Proposta
 Negociada]]/Tabela2[[#This Row],[Proposta
 Inicial]]-1</f>
        <v>#DIV/0!</v>
      </c>
      <c r="S169"/>
    </row>
    <row r="170" spans="1:19" ht="14.45">
      <c r="A170" s="9"/>
      <c r="B170" s="9"/>
      <c r="C170" s="1" t="str">
        <f t="shared" si="6"/>
        <v/>
      </c>
      <c r="I170" s="1" t="str">
        <f>IFERROR(VLOOKUP(H170,SLA_Ref!$A$1:$B$8,2,FALSE),"")</f>
        <v/>
      </c>
      <c r="J170" s="1" t="str">
        <f t="shared" ca="1" si="5"/>
        <v/>
      </c>
      <c r="K170" s="11" t="e">
        <f>Tabela2[[#This Row],[SLA
Padrão]]-Tabela2[[#This Row],[SLA Atendimento]]</f>
        <v>#VALUE!</v>
      </c>
      <c r="L170" s="11"/>
      <c r="O170" s="1" t="s">
        <v>30</v>
      </c>
      <c r="P170" s="2">
        <f>Tabela2[[#This Row],[Proposta
 Inicial]]-Tabela2[[#This Row],[Proposta
 Negociada]]</f>
        <v>0</v>
      </c>
      <c r="Q170" s="4" t="e">
        <f>Tabela2[[#This Row],[Proposta
 Negociada]]/Tabela2[[#This Row],[Proposta
 Inicial]]-1</f>
        <v>#DIV/0!</v>
      </c>
      <c r="S170"/>
    </row>
    <row r="171" spans="1:19" ht="14.45">
      <c r="A171" s="9"/>
      <c r="B171" s="9"/>
      <c r="C171" s="1" t="str">
        <f t="shared" si="6"/>
        <v/>
      </c>
      <c r="I171" s="1" t="str">
        <f>IFERROR(VLOOKUP(H171,SLA_Ref!$A$1:$B$8,2,FALSE),"")</f>
        <v/>
      </c>
      <c r="J171" s="1" t="str">
        <f t="shared" ref="J171:J234" ca="1" si="7">IF(A171="","",IF(B171="",IF(TODAY()-A171&gt;I171,"ATRASADA","EM ANDAMENTO"),IF(B171-A171&gt;I171,"ATRASADA","NO PRAZO")))</f>
        <v/>
      </c>
      <c r="K171" s="11" t="e">
        <f>Tabela2[[#This Row],[SLA
Padrão]]-Tabela2[[#This Row],[SLA Atendimento]]</f>
        <v>#VALUE!</v>
      </c>
      <c r="L171" s="11"/>
      <c r="O171" s="1" t="s">
        <v>30</v>
      </c>
      <c r="P171" s="2">
        <f>Tabela2[[#This Row],[Proposta
 Inicial]]-Tabela2[[#This Row],[Proposta
 Negociada]]</f>
        <v>0</v>
      </c>
      <c r="Q171" s="4" t="e">
        <f>Tabela2[[#This Row],[Proposta
 Negociada]]/Tabela2[[#This Row],[Proposta
 Inicial]]-1</f>
        <v>#DIV/0!</v>
      </c>
      <c r="S171"/>
    </row>
    <row r="172" spans="1:19" ht="14.45">
      <c r="A172" s="9"/>
      <c r="B172" s="9"/>
      <c r="C172" s="1" t="str">
        <f t="shared" si="6"/>
        <v/>
      </c>
      <c r="I172" s="1" t="str">
        <f>IFERROR(VLOOKUP(H172,SLA_Ref!$A$1:$B$8,2,FALSE),"")</f>
        <v/>
      </c>
      <c r="J172" s="1" t="str">
        <f t="shared" ca="1" si="7"/>
        <v/>
      </c>
      <c r="K172" s="11" t="e">
        <f>Tabela2[[#This Row],[SLA
Padrão]]-Tabela2[[#This Row],[SLA Atendimento]]</f>
        <v>#VALUE!</v>
      </c>
      <c r="L172" s="11"/>
      <c r="O172" s="1" t="s">
        <v>30</v>
      </c>
      <c r="P172" s="2">
        <f>Tabela2[[#This Row],[Proposta
 Inicial]]-Tabela2[[#This Row],[Proposta
 Negociada]]</f>
        <v>0</v>
      </c>
      <c r="Q172" s="4" t="e">
        <f>Tabela2[[#This Row],[Proposta
 Negociada]]/Tabela2[[#This Row],[Proposta
 Inicial]]-1</f>
        <v>#DIV/0!</v>
      </c>
      <c r="S172"/>
    </row>
    <row r="173" spans="1:19" ht="14.45">
      <c r="A173" s="9"/>
      <c r="B173" s="9"/>
      <c r="C173" s="1" t="str">
        <f t="shared" si="6"/>
        <v/>
      </c>
      <c r="I173" s="1" t="str">
        <f>IFERROR(VLOOKUP(H173,SLA_Ref!$A$1:$B$8,2,FALSE),"")</f>
        <v/>
      </c>
      <c r="J173" s="1" t="str">
        <f t="shared" ca="1" si="7"/>
        <v/>
      </c>
      <c r="K173" s="11" t="e">
        <f>Tabela2[[#This Row],[SLA
Padrão]]-Tabela2[[#This Row],[SLA Atendimento]]</f>
        <v>#VALUE!</v>
      </c>
      <c r="L173" s="11"/>
      <c r="O173" s="1" t="s">
        <v>30</v>
      </c>
      <c r="P173" s="2">
        <f>Tabela2[[#This Row],[Proposta
 Inicial]]-Tabela2[[#This Row],[Proposta
 Negociada]]</f>
        <v>0</v>
      </c>
      <c r="Q173" s="4" t="e">
        <f>Tabela2[[#This Row],[Proposta
 Negociada]]/Tabela2[[#This Row],[Proposta
 Inicial]]-1</f>
        <v>#DIV/0!</v>
      </c>
      <c r="S173"/>
    </row>
    <row r="174" spans="1:19" ht="14.45">
      <c r="A174" s="9"/>
      <c r="B174" s="9"/>
      <c r="C174" s="1" t="str">
        <f t="shared" si="6"/>
        <v/>
      </c>
      <c r="I174" s="1" t="str">
        <f>IFERROR(VLOOKUP(H174,SLA_Ref!$A$1:$B$8,2,FALSE),"")</f>
        <v/>
      </c>
      <c r="J174" s="1" t="str">
        <f t="shared" ca="1" si="7"/>
        <v/>
      </c>
      <c r="K174" s="11" t="e">
        <f>Tabela2[[#This Row],[SLA
Padrão]]-Tabela2[[#This Row],[SLA Atendimento]]</f>
        <v>#VALUE!</v>
      </c>
      <c r="L174" s="11"/>
      <c r="O174" s="1" t="s">
        <v>30</v>
      </c>
      <c r="P174" s="2">
        <f>Tabela2[[#This Row],[Proposta
 Inicial]]-Tabela2[[#This Row],[Proposta
 Negociada]]</f>
        <v>0</v>
      </c>
      <c r="Q174" s="4" t="e">
        <f>Tabela2[[#This Row],[Proposta
 Negociada]]/Tabela2[[#This Row],[Proposta
 Inicial]]-1</f>
        <v>#DIV/0!</v>
      </c>
      <c r="S174"/>
    </row>
    <row r="175" spans="1:19" ht="14.45">
      <c r="A175" s="9"/>
      <c r="B175" s="9"/>
      <c r="C175" s="1" t="str">
        <f t="shared" si="6"/>
        <v/>
      </c>
      <c r="I175" s="1" t="str">
        <f>IFERROR(VLOOKUP(H175,SLA_Ref!$A$1:$B$8,2,FALSE),"")</f>
        <v/>
      </c>
      <c r="J175" s="1" t="str">
        <f t="shared" ca="1" si="7"/>
        <v/>
      </c>
      <c r="K175" s="11" t="e">
        <f>Tabela2[[#This Row],[SLA
Padrão]]-Tabela2[[#This Row],[SLA Atendimento]]</f>
        <v>#VALUE!</v>
      </c>
      <c r="L175" s="11"/>
      <c r="O175" s="1" t="s">
        <v>30</v>
      </c>
      <c r="P175" s="2">
        <f>Tabela2[[#This Row],[Proposta
 Inicial]]-Tabela2[[#This Row],[Proposta
 Negociada]]</f>
        <v>0</v>
      </c>
      <c r="Q175" s="4" t="e">
        <f>Tabela2[[#This Row],[Proposta
 Negociada]]/Tabela2[[#This Row],[Proposta
 Inicial]]-1</f>
        <v>#DIV/0!</v>
      </c>
      <c r="S175"/>
    </row>
    <row r="176" spans="1:19" ht="14.45">
      <c r="A176" s="9"/>
      <c r="B176" s="9"/>
      <c r="C176" s="1" t="str">
        <f t="shared" si="6"/>
        <v/>
      </c>
      <c r="I176" s="1" t="str">
        <f>IFERROR(VLOOKUP(H176,SLA_Ref!$A$1:$B$8,2,FALSE),"")</f>
        <v/>
      </c>
      <c r="J176" s="1" t="str">
        <f t="shared" ca="1" si="7"/>
        <v/>
      </c>
      <c r="K176" s="11" t="e">
        <f>Tabela2[[#This Row],[SLA
Padrão]]-Tabela2[[#This Row],[SLA Atendimento]]</f>
        <v>#VALUE!</v>
      </c>
      <c r="L176" s="11"/>
      <c r="O176" s="1" t="s">
        <v>30</v>
      </c>
      <c r="P176" s="2">
        <f>Tabela2[[#This Row],[Proposta
 Inicial]]-Tabela2[[#This Row],[Proposta
 Negociada]]</f>
        <v>0</v>
      </c>
      <c r="Q176" s="4" t="e">
        <f>Tabela2[[#This Row],[Proposta
 Negociada]]/Tabela2[[#This Row],[Proposta
 Inicial]]-1</f>
        <v>#DIV/0!</v>
      </c>
      <c r="S176"/>
    </row>
    <row r="177" spans="1:19" ht="14.45">
      <c r="A177" s="9"/>
      <c r="B177" s="9"/>
      <c r="C177" s="1" t="str">
        <f t="shared" si="6"/>
        <v/>
      </c>
      <c r="I177" s="1" t="str">
        <f>IFERROR(VLOOKUP(H177,SLA_Ref!$A$1:$B$8,2,FALSE),"")</f>
        <v/>
      </c>
      <c r="J177" s="1" t="str">
        <f t="shared" ca="1" si="7"/>
        <v/>
      </c>
      <c r="K177" s="11" t="e">
        <f>Tabela2[[#This Row],[SLA
Padrão]]-Tabela2[[#This Row],[SLA Atendimento]]</f>
        <v>#VALUE!</v>
      </c>
      <c r="L177" s="11"/>
      <c r="O177" s="1" t="s">
        <v>30</v>
      </c>
      <c r="P177" s="2">
        <f>Tabela2[[#This Row],[Proposta
 Inicial]]-Tabela2[[#This Row],[Proposta
 Negociada]]</f>
        <v>0</v>
      </c>
      <c r="Q177" s="4" t="e">
        <f>Tabela2[[#This Row],[Proposta
 Negociada]]/Tabela2[[#This Row],[Proposta
 Inicial]]-1</f>
        <v>#DIV/0!</v>
      </c>
      <c r="S177"/>
    </row>
    <row r="178" spans="1:19" ht="14.45">
      <c r="A178" s="9"/>
      <c r="B178" s="9"/>
      <c r="C178" s="1" t="str">
        <f t="shared" si="6"/>
        <v/>
      </c>
      <c r="I178" s="1" t="str">
        <f>IFERROR(VLOOKUP(H178,SLA_Ref!$A$1:$B$8,2,FALSE),"")</f>
        <v/>
      </c>
      <c r="J178" s="1" t="str">
        <f t="shared" ca="1" si="7"/>
        <v/>
      </c>
      <c r="K178" s="11" t="e">
        <f>Tabela2[[#This Row],[SLA
Padrão]]-Tabela2[[#This Row],[SLA Atendimento]]</f>
        <v>#VALUE!</v>
      </c>
      <c r="L178" s="11"/>
      <c r="O178" s="1" t="s">
        <v>30</v>
      </c>
      <c r="P178" s="2">
        <f>Tabela2[[#This Row],[Proposta
 Inicial]]-Tabela2[[#This Row],[Proposta
 Negociada]]</f>
        <v>0</v>
      </c>
      <c r="Q178" s="4" t="e">
        <f>Tabela2[[#This Row],[Proposta
 Negociada]]/Tabela2[[#This Row],[Proposta
 Inicial]]-1</f>
        <v>#DIV/0!</v>
      </c>
      <c r="S178"/>
    </row>
    <row r="179" spans="1:19" ht="14.45">
      <c r="A179" s="9"/>
      <c r="B179" s="9"/>
      <c r="C179" s="1" t="str">
        <f t="shared" si="6"/>
        <v/>
      </c>
      <c r="I179" s="1" t="str">
        <f>IFERROR(VLOOKUP(H179,SLA_Ref!$A$1:$B$8,2,FALSE),"")</f>
        <v/>
      </c>
      <c r="J179" s="1" t="str">
        <f t="shared" ca="1" si="7"/>
        <v/>
      </c>
      <c r="K179" s="11" t="e">
        <f>Tabela2[[#This Row],[SLA
Padrão]]-Tabela2[[#This Row],[SLA Atendimento]]</f>
        <v>#VALUE!</v>
      </c>
      <c r="L179" s="11"/>
      <c r="O179" s="1" t="s">
        <v>30</v>
      </c>
      <c r="P179" s="2">
        <f>Tabela2[[#This Row],[Proposta
 Inicial]]-Tabela2[[#This Row],[Proposta
 Negociada]]</f>
        <v>0</v>
      </c>
      <c r="Q179" s="4" t="e">
        <f>Tabela2[[#This Row],[Proposta
 Negociada]]/Tabela2[[#This Row],[Proposta
 Inicial]]-1</f>
        <v>#DIV/0!</v>
      </c>
      <c r="S179"/>
    </row>
    <row r="180" spans="1:19" ht="14.45">
      <c r="A180" s="9"/>
      <c r="B180" s="9"/>
      <c r="C180" s="1" t="str">
        <f t="shared" si="6"/>
        <v/>
      </c>
      <c r="I180" s="1" t="str">
        <f>IFERROR(VLOOKUP(H180,SLA_Ref!$A$1:$B$8,2,FALSE),"")</f>
        <v/>
      </c>
      <c r="J180" s="1" t="str">
        <f t="shared" ca="1" si="7"/>
        <v/>
      </c>
      <c r="K180" s="11" t="e">
        <f>Tabela2[[#This Row],[SLA
Padrão]]-Tabela2[[#This Row],[SLA Atendimento]]</f>
        <v>#VALUE!</v>
      </c>
      <c r="L180" s="11"/>
      <c r="O180" s="1" t="s">
        <v>30</v>
      </c>
      <c r="P180" s="2">
        <f>Tabela2[[#This Row],[Proposta
 Inicial]]-Tabela2[[#This Row],[Proposta
 Negociada]]</f>
        <v>0</v>
      </c>
      <c r="Q180" s="4" t="e">
        <f>Tabela2[[#This Row],[Proposta
 Negociada]]/Tabela2[[#This Row],[Proposta
 Inicial]]-1</f>
        <v>#DIV/0!</v>
      </c>
      <c r="S180"/>
    </row>
    <row r="181" spans="1:19" ht="14.45">
      <c r="A181" s="9"/>
      <c r="B181" s="9"/>
      <c r="C181" s="1" t="str">
        <f t="shared" si="6"/>
        <v/>
      </c>
      <c r="I181" s="1" t="str">
        <f>IFERROR(VLOOKUP(H181,SLA_Ref!$A$1:$B$8,2,FALSE),"")</f>
        <v/>
      </c>
      <c r="J181" s="1" t="str">
        <f t="shared" ca="1" si="7"/>
        <v/>
      </c>
      <c r="K181" s="11" t="e">
        <f>Tabela2[[#This Row],[SLA
Padrão]]-Tabela2[[#This Row],[SLA Atendimento]]</f>
        <v>#VALUE!</v>
      </c>
      <c r="L181" s="11"/>
      <c r="O181" s="1" t="s">
        <v>30</v>
      </c>
      <c r="P181" s="2">
        <f>Tabela2[[#This Row],[Proposta
 Inicial]]-Tabela2[[#This Row],[Proposta
 Negociada]]</f>
        <v>0</v>
      </c>
      <c r="Q181" s="4" t="e">
        <f>Tabela2[[#This Row],[Proposta
 Negociada]]/Tabela2[[#This Row],[Proposta
 Inicial]]-1</f>
        <v>#DIV/0!</v>
      </c>
      <c r="S181"/>
    </row>
    <row r="182" spans="1:19" ht="14.45">
      <c r="A182" s="9"/>
      <c r="B182" s="9"/>
      <c r="C182" s="1" t="str">
        <f t="shared" si="6"/>
        <v/>
      </c>
      <c r="I182" s="1" t="str">
        <f>IFERROR(VLOOKUP(H182,SLA_Ref!$A$1:$B$8,2,FALSE),"")</f>
        <v/>
      </c>
      <c r="J182" s="1" t="str">
        <f t="shared" ca="1" si="7"/>
        <v/>
      </c>
      <c r="K182" s="11" t="e">
        <f>Tabela2[[#This Row],[SLA
Padrão]]-Tabela2[[#This Row],[SLA Atendimento]]</f>
        <v>#VALUE!</v>
      </c>
      <c r="L182" s="11"/>
      <c r="O182" s="1" t="s">
        <v>30</v>
      </c>
      <c r="P182" s="2">
        <f>Tabela2[[#This Row],[Proposta
 Inicial]]-Tabela2[[#This Row],[Proposta
 Negociada]]</f>
        <v>0</v>
      </c>
      <c r="Q182" s="4" t="e">
        <f>Tabela2[[#This Row],[Proposta
 Negociada]]/Tabela2[[#This Row],[Proposta
 Inicial]]-1</f>
        <v>#DIV/0!</v>
      </c>
      <c r="S182"/>
    </row>
    <row r="183" spans="1:19" ht="14.45">
      <c r="A183" s="9"/>
      <c r="B183" s="9"/>
      <c r="C183" s="1" t="str">
        <f t="shared" si="6"/>
        <v/>
      </c>
      <c r="I183" s="1" t="str">
        <f>IFERROR(VLOOKUP(H183,SLA_Ref!$A$1:$B$8,2,FALSE),"")</f>
        <v/>
      </c>
      <c r="J183" s="1" t="str">
        <f t="shared" ca="1" si="7"/>
        <v/>
      </c>
      <c r="K183" s="11" t="e">
        <f>Tabela2[[#This Row],[SLA
Padrão]]-Tabela2[[#This Row],[SLA Atendimento]]</f>
        <v>#VALUE!</v>
      </c>
      <c r="L183" s="11"/>
      <c r="O183" s="1" t="s">
        <v>30</v>
      </c>
      <c r="P183" s="2">
        <f>Tabela2[[#This Row],[Proposta
 Inicial]]-Tabela2[[#This Row],[Proposta
 Negociada]]</f>
        <v>0</v>
      </c>
      <c r="Q183" s="4" t="e">
        <f>Tabela2[[#This Row],[Proposta
 Negociada]]/Tabela2[[#This Row],[Proposta
 Inicial]]-1</f>
        <v>#DIV/0!</v>
      </c>
      <c r="S183"/>
    </row>
    <row r="184" spans="1:19" ht="14.45">
      <c r="A184" s="9"/>
      <c r="B184" s="9"/>
      <c r="C184" s="1" t="str">
        <f t="shared" si="6"/>
        <v/>
      </c>
      <c r="I184" s="1" t="str">
        <f>IFERROR(VLOOKUP(H184,SLA_Ref!$A$1:$B$8,2,FALSE),"")</f>
        <v/>
      </c>
      <c r="J184" s="1" t="str">
        <f t="shared" ca="1" si="7"/>
        <v/>
      </c>
      <c r="K184" s="11" t="e">
        <f>Tabela2[[#This Row],[SLA
Padrão]]-Tabela2[[#This Row],[SLA Atendimento]]</f>
        <v>#VALUE!</v>
      </c>
      <c r="L184" s="11"/>
      <c r="O184" s="1" t="s">
        <v>30</v>
      </c>
      <c r="P184" s="2">
        <f>Tabela2[[#This Row],[Proposta
 Inicial]]-Tabela2[[#This Row],[Proposta
 Negociada]]</f>
        <v>0</v>
      </c>
      <c r="Q184" s="4" t="e">
        <f>Tabela2[[#This Row],[Proposta
 Negociada]]/Tabela2[[#This Row],[Proposta
 Inicial]]-1</f>
        <v>#DIV/0!</v>
      </c>
      <c r="S184"/>
    </row>
    <row r="185" spans="1:19" ht="14.45">
      <c r="A185" s="9"/>
      <c r="B185" s="9"/>
      <c r="C185" s="1" t="str">
        <f t="shared" si="6"/>
        <v/>
      </c>
      <c r="I185" s="1" t="str">
        <f>IFERROR(VLOOKUP(H185,SLA_Ref!$A$1:$B$8,2,FALSE),"")</f>
        <v/>
      </c>
      <c r="J185" s="1" t="str">
        <f t="shared" ca="1" si="7"/>
        <v/>
      </c>
      <c r="K185" s="11" t="e">
        <f>Tabela2[[#This Row],[SLA
Padrão]]-Tabela2[[#This Row],[SLA Atendimento]]</f>
        <v>#VALUE!</v>
      </c>
      <c r="L185" s="11"/>
      <c r="O185" s="1" t="s">
        <v>30</v>
      </c>
      <c r="P185" s="2">
        <f>Tabela2[[#This Row],[Proposta
 Inicial]]-Tabela2[[#This Row],[Proposta
 Negociada]]</f>
        <v>0</v>
      </c>
      <c r="Q185" s="4" t="e">
        <f>Tabela2[[#This Row],[Proposta
 Negociada]]/Tabela2[[#This Row],[Proposta
 Inicial]]-1</f>
        <v>#DIV/0!</v>
      </c>
      <c r="S185"/>
    </row>
    <row r="186" spans="1:19" ht="14.45">
      <c r="A186" s="9"/>
      <c r="B186" s="9"/>
      <c r="C186" s="1" t="str">
        <f t="shared" si="6"/>
        <v/>
      </c>
      <c r="I186" s="1" t="str">
        <f>IFERROR(VLOOKUP(H186,SLA_Ref!$A$1:$B$8,2,FALSE),"")</f>
        <v/>
      </c>
      <c r="J186" s="1" t="str">
        <f t="shared" ca="1" si="7"/>
        <v/>
      </c>
      <c r="K186" s="11" t="e">
        <f>Tabela2[[#This Row],[SLA
Padrão]]-Tabela2[[#This Row],[SLA Atendimento]]</f>
        <v>#VALUE!</v>
      </c>
      <c r="L186" s="11"/>
      <c r="O186" s="1" t="s">
        <v>30</v>
      </c>
      <c r="P186" s="2">
        <f>Tabela2[[#This Row],[Proposta
 Inicial]]-Tabela2[[#This Row],[Proposta
 Negociada]]</f>
        <v>0</v>
      </c>
      <c r="Q186" s="4" t="e">
        <f>Tabela2[[#This Row],[Proposta
 Negociada]]/Tabela2[[#This Row],[Proposta
 Inicial]]-1</f>
        <v>#DIV/0!</v>
      </c>
      <c r="S186"/>
    </row>
    <row r="187" spans="1:19" ht="14.45">
      <c r="A187" s="9"/>
      <c r="B187" s="9"/>
      <c r="C187" s="1" t="str">
        <f t="shared" si="6"/>
        <v/>
      </c>
      <c r="I187" s="1" t="str">
        <f>IFERROR(VLOOKUP(H187,SLA_Ref!$A$1:$B$8,2,FALSE),"")</f>
        <v/>
      </c>
      <c r="J187" s="1" t="str">
        <f t="shared" ca="1" si="7"/>
        <v/>
      </c>
      <c r="K187" s="11" t="e">
        <f>Tabela2[[#This Row],[SLA
Padrão]]-Tabela2[[#This Row],[SLA Atendimento]]</f>
        <v>#VALUE!</v>
      </c>
      <c r="L187" s="11"/>
      <c r="O187" s="1" t="s">
        <v>30</v>
      </c>
      <c r="P187" s="2">
        <f>Tabela2[[#This Row],[Proposta
 Inicial]]-Tabela2[[#This Row],[Proposta
 Negociada]]</f>
        <v>0</v>
      </c>
      <c r="Q187" s="4" t="e">
        <f>Tabela2[[#This Row],[Proposta
 Negociada]]/Tabela2[[#This Row],[Proposta
 Inicial]]-1</f>
        <v>#DIV/0!</v>
      </c>
      <c r="S187"/>
    </row>
    <row r="188" spans="1:19" ht="14.45">
      <c r="A188" s="9"/>
      <c r="B188" s="9"/>
      <c r="C188" s="1" t="str">
        <f t="shared" si="6"/>
        <v/>
      </c>
      <c r="I188" s="1" t="str">
        <f>IFERROR(VLOOKUP(H188,SLA_Ref!$A$1:$B$8,2,FALSE),"")</f>
        <v/>
      </c>
      <c r="J188" s="1" t="str">
        <f t="shared" ca="1" si="7"/>
        <v/>
      </c>
      <c r="K188" s="11" t="e">
        <f>Tabela2[[#This Row],[SLA
Padrão]]-Tabela2[[#This Row],[SLA Atendimento]]</f>
        <v>#VALUE!</v>
      </c>
      <c r="L188" s="11"/>
      <c r="O188" s="1" t="s">
        <v>30</v>
      </c>
      <c r="P188" s="2">
        <f>Tabela2[[#This Row],[Proposta
 Inicial]]-Tabela2[[#This Row],[Proposta
 Negociada]]</f>
        <v>0</v>
      </c>
      <c r="Q188" s="4" t="e">
        <f>Tabela2[[#This Row],[Proposta
 Negociada]]/Tabela2[[#This Row],[Proposta
 Inicial]]-1</f>
        <v>#DIV/0!</v>
      </c>
      <c r="S188"/>
    </row>
    <row r="189" spans="1:19" ht="14.45">
      <c r="A189" s="9"/>
      <c r="B189" s="9"/>
      <c r="C189" s="1" t="str">
        <f t="shared" si="6"/>
        <v/>
      </c>
      <c r="I189" s="1" t="str">
        <f>IFERROR(VLOOKUP(H189,SLA_Ref!$A$1:$B$8,2,FALSE),"")</f>
        <v/>
      </c>
      <c r="J189" s="1" t="str">
        <f t="shared" ca="1" si="7"/>
        <v/>
      </c>
      <c r="K189" s="11" t="e">
        <f>Tabela2[[#This Row],[SLA
Padrão]]-Tabela2[[#This Row],[SLA Atendimento]]</f>
        <v>#VALUE!</v>
      </c>
      <c r="L189" s="11"/>
      <c r="O189" s="1" t="s">
        <v>30</v>
      </c>
      <c r="P189" s="2">
        <f>Tabela2[[#This Row],[Proposta
 Inicial]]-Tabela2[[#This Row],[Proposta
 Negociada]]</f>
        <v>0</v>
      </c>
      <c r="Q189" s="4" t="e">
        <f>Tabela2[[#This Row],[Proposta
 Negociada]]/Tabela2[[#This Row],[Proposta
 Inicial]]-1</f>
        <v>#DIV/0!</v>
      </c>
      <c r="S189"/>
    </row>
    <row r="190" spans="1:19" ht="14.45">
      <c r="A190" s="9"/>
      <c r="B190" s="9"/>
      <c r="C190" s="1" t="str">
        <f t="shared" si="6"/>
        <v/>
      </c>
      <c r="I190" s="1" t="str">
        <f>IFERROR(VLOOKUP(H190,SLA_Ref!$A$1:$B$8,2,FALSE),"")</f>
        <v/>
      </c>
      <c r="J190" s="1" t="str">
        <f t="shared" ca="1" si="7"/>
        <v/>
      </c>
      <c r="K190" s="11" t="e">
        <f>Tabela2[[#This Row],[SLA
Padrão]]-Tabela2[[#This Row],[SLA Atendimento]]</f>
        <v>#VALUE!</v>
      </c>
      <c r="L190" s="11"/>
      <c r="O190" s="1" t="s">
        <v>30</v>
      </c>
      <c r="P190" s="2">
        <f>Tabela2[[#This Row],[Proposta
 Inicial]]-Tabela2[[#This Row],[Proposta
 Negociada]]</f>
        <v>0</v>
      </c>
      <c r="Q190" s="4" t="e">
        <f>Tabela2[[#This Row],[Proposta
 Negociada]]/Tabela2[[#This Row],[Proposta
 Inicial]]-1</f>
        <v>#DIV/0!</v>
      </c>
      <c r="S190"/>
    </row>
    <row r="191" spans="1:19" ht="14.45">
      <c r="A191" s="9"/>
      <c r="B191" s="9"/>
      <c r="C191" s="1" t="str">
        <f t="shared" si="6"/>
        <v/>
      </c>
      <c r="I191" s="1" t="str">
        <f>IFERROR(VLOOKUP(H191,SLA_Ref!$A$1:$B$8,2,FALSE),"")</f>
        <v/>
      </c>
      <c r="J191" s="1" t="str">
        <f t="shared" ca="1" si="7"/>
        <v/>
      </c>
      <c r="K191" s="11" t="e">
        <f>Tabela2[[#This Row],[SLA
Padrão]]-Tabela2[[#This Row],[SLA Atendimento]]</f>
        <v>#VALUE!</v>
      </c>
      <c r="L191" s="11"/>
      <c r="O191" s="1" t="s">
        <v>30</v>
      </c>
      <c r="P191" s="2">
        <f>Tabela2[[#This Row],[Proposta
 Inicial]]-Tabela2[[#This Row],[Proposta
 Negociada]]</f>
        <v>0</v>
      </c>
      <c r="Q191" s="4" t="e">
        <f>Tabela2[[#This Row],[Proposta
 Negociada]]/Tabela2[[#This Row],[Proposta
 Inicial]]-1</f>
        <v>#DIV/0!</v>
      </c>
      <c r="S191"/>
    </row>
    <row r="192" spans="1:19" ht="14.45">
      <c r="A192" s="9"/>
      <c r="B192" s="9"/>
      <c r="C192" s="1" t="str">
        <f t="shared" si="6"/>
        <v/>
      </c>
      <c r="I192" s="1" t="str">
        <f>IFERROR(VLOOKUP(H192,SLA_Ref!$A$1:$B$8,2,FALSE),"")</f>
        <v/>
      </c>
      <c r="J192" s="1" t="str">
        <f t="shared" ca="1" si="7"/>
        <v/>
      </c>
      <c r="K192" s="11" t="e">
        <f>Tabela2[[#This Row],[SLA
Padrão]]-Tabela2[[#This Row],[SLA Atendimento]]</f>
        <v>#VALUE!</v>
      </c>
      <c r="L192" s="11"/>
      <c r="O192" s="1" t="s">
        <v>30</v>
      </c>
      <c r="P192" s="2">
        <f>Tabela2[[#This Row],[Proposta
 Inicial]]-Tabela2[[#This Row],[Proposta
 Negociada]]</f>
        <v>0</v>
      </c>
      <c r="Q192" s="4" t="e">
        <f>Tabela2[[#This Row],[Proposta
 Negociada]]/Tabela2[[#This Row],[Proposta
 Inicial]]-1</f>
        <v>#DIV/0!</v>
      </c>
      <c r="S192"/>
    </row>
    <row r="193" spans="1:19" ht="14.45">
      <c r="A193" s="9"/>
      <c r="B193" s="9"/>
      <c r="C193" s="1" t="str">
        <f t="shared" si="6"/>
        <v/>
      </c>
      <c r="I193" s="1" t="str">
        <f>IFERROR(VLOOKUP(H193,SLA_Ref!$A$1:$B$8,2,FALSE),"")</f>
        <v/>
      </c>
      <c r="J193" s="1" t="str">
        <f t="shared" ca="1" si="7"/>
        <v/>
      </c>
      <c r="K193" s="11" t="e">
        <f>Tabela2[[#This Row],[SLA
Padrão]]-Tabela2[[#This Row],[SLA Atendimento]]</f>
        <v>#VALUE!</v>
      </c>
      <c r="L193" s="11"/>
      <c r="O193" s="1" t="s">
        <v>30</v>
      </c>
      <c r="P193" s="2">
        <f>Tabela2[[#This Row],[Proposta
 Inicial]]-Tabela2[[#This Row],[Proposta
 Negociada]]</f>
        <v>0</v>
      </c>
      <c r="Q193" s="4" t="e">
        <f>Tabela2[[#This Row],[Proposta
 Negociada]]/Tabela2[[#This Row],[Proposta
 Inicial]]-1</f>
        <v>#DIV/0!</v>
      </c>
      <c r="S193"/>
    </row>
    <row r="194" spans="1:19" ht="14.45">
      <c r="A194" s="9"/>
      <c r="B194" s="9"/>
      <c r="C194" s="1" t="str">
        <f t="shared" si="6"/>
        <v/>
      </c>
      <c r="I194" s="1" t="str">
        <f>IFERROR(VLOOKUP(H194,SLA_Ref!$A$1:$B$8,2,FALSE),"")</f>
        <v/>
      </c>
      <c r="J194" s="1" t="str">
        <f t="shared" ca="1" si="7"/>
        <v/>
      </c>
      <c r="K194" s="11" t="e">
        <f>Tabela2[[#This Row],[SLA
Padrão]]-Tabela2[[#This Row],[SLA Atendimento]]</f>
        <v>#VALUE!</v>
      </c>
      <c r="L194" s="11"/>
      <c r="O194" s="1" t="s">
        <v>30</v>
      </c>
      <c r="P194" s="2">
        <f>Tabela2[[#This Row],[Proposta
 Inicial]]-Tabela2[[#This Row],[Proposta
 Negociada]]</f>
        <v>0</v>
      </c>
      <c r="Q194" s="4" t="e">
        <f>Tabela2[[#This Row],[Proposta
 Negociada]]/Tabela2[[#This Row],[Proposta
 Inicial]]-1</f>
        <v>#DIV/0!</v>
      </c>
      <c r="S194"/>
    </row>
    <row r="195" spans="1:19" ht="14.45">
      <c r="A195" s="9"/>
      <c r="B195" s="9"/>
      <c r="C195" s="1" t="str">
        <f t="shared" ref="C195:C258" si="8">IF(OR(A195="",B195=""),"",B195-A195)</f>
        <v/>
      </c>
      <c r="I195" s="1" t="str">
        <f>IFERROR(VLOOKUP(H195,SLA_Ref!$A$1:$B$8,2,FALSE),"")</f>
        <v/>
      </c>
      <c r="J195" s="1" t="str">
        <f t="shared" ca="1" si="7"/>
        <v/>
      </c>
      <c r="K195" s="11" t="e">
        <f>Tabela2[[#This Row],[SLA
Padrão]]-Tabela2[[#This Row],[SLA Atendimento]]</f>
        <v>#VALUE!</v>
      </c>
      <c r="L195" s="11"/>
      <c r="O195" s="1" t="s">
        <v>30</v>
      </c>
      <c r="P195" s="2">
        <f>Tabela2[[#This Row],[Proposta
 Inicial]]-Tabela2[[#This Row],[Proposta
 Negociada]]</f>
        <v>0</v>
      </c>
      <c r="Q195" s="4" t="e">
        <f>Tabela2[[#This Row],[Proposta
 Negociada]]/Tabela2[[#This Row],[Proposta
 Inicial]]-1</f>
        <v>#DIV/0!</v>
      </c>
      <c r="S195"/>
    </row>
    <row r="196" spans="1:19" ht="14.45">
      <c r="A196" s="9"/>
      <c r="B196" s="9"/>
      <c r="C196" s="1" t="str">
        <f t="shared" si="8"/>
        <v/>
      </c>
      <c r="I196" s="1" t="str">
        <f>IFERROR(VLOOKUP(H196,SLA_Ref!$A$1:$B$8,2,FALSE),"")</f>
        <v/>
      </c>
      <c r="J196" s="1" t="str">
        <f t="shared" ca="1" si="7"/>
        <v/>
      </c>
      <c r="K196" s="11" t="e">
        <f>Tabela2[[#This Row],[SLA
Padrão]]-Tabela2[[#This Row],[SLA Atendimento]]</f>
        <v>#VALUE!</v>
      </c>
      <c r="L196" s="11"/>
      <c r="O196" s="1" t="s">
        <v>30</v>
      </c>
      <c r="P196" s="2">
        <f>Tabela2[[#This Row],[Proposta
 Inicial]]-Tabela2[[#This Row],[Proposta
 Negociada]]</f>
        <v>0</v>
      </c>
      <c r="Q196" s="4" t="e">
        <f>Tabela2[[#This Row],[Proposta
 Negociada]]/Tabela2[[#This Row],[Proposta
 Inicial]]-1</f>
        <v>#DIV/0!</v>
      </c>
      <c r="S196"/>
    </row>
    <row r="197" spans="1:19" ht="14.45">
      <c r="A197" s="9"/>
      <c r="B197" s="9"/>
      <c r="C197" s="1" t="str">
        <f t="shared" si="8"/>
        <v/>
      </c>
      <c r="I197" s="1" t="str">
        <f>IFERROR(VLOOKUP(H197,SLA_Ref!$A$1:$B$8,2,FALSE),"")</f>
        <v/>
      </c>
      <c r="J197" s="1" t="str">
        <f t="shared" ca="1" si="7"/>
        <v/>
      </c>
      <c r="K197" s="11" t="e">
        <f>Tabela2[[#This Row],[SLA
Padrão]]-Tabela2[[#This Row],[SLA Atendimento]]</f>
        <v>#VALUE!</v>
      </c>
      <c r="L197" s="11"/>
      <c r="O197" s="1" t="s">
        <v>30</v>
      </c>
      <c r="P197" s="2">
        <f>Tabela2[[#This Row],[Proposta
 Inicial]]-Tabela2[[#This Row],[Proposta
 Negociada]]</f>
        <v>0</v>
      </c>
      <c r="Q197" s="4" t="e">
        <f>Tabela2[[#This Row],[Proposta
 Negociada]]/Tabela2[[#This Row],[Proposta
 Inicial]]-1</f>
        <v>#DIV/0!</v>
      </c>
      <c r="S197"/>
    </row>
    <row r="198" spans="1:19" ht="14.45">
      <c r="A198" s="9"/>
      <c r="B198" s="9"/>
      <c r="C198" s="1" t="str">
        <f t="shared" si="8"/>
        <v/>
      </c>
      <c r="I198" s="1" t="str">
        <f>IFERROR(VLOOKUP(H198,SLA_Ref!$A$1:$B$8,2,FALSE),"")</f>
        <v/>
      </c>
      <c r="J198" s="1" t="str">
        <f t="shared" ca="1" si="7"/>
        <v/>
      </c>
      <c r="K198" s="11" t="e">
        <f>Tabela2[[#This Row],[SLA
Padrão]]-Tabela2[[#This Row],[SLA Atendimento]]</f>
        <v>#VALUE!</v>
      </c>
      <c r="L198" s="11"/>
      <c r="O198" s="1" t="s">
        <v>30</v>
      </c>
      <c r="P198" s="2">
        <f>Tabela2[[#This Row],[Proposta
 Inicial]]-Tabela2[[#This Row],[Proposta
 Negociada]]</f>
        <v>0</v>
      </c>
      <c r="Q198" s="4" t="e">
        <f>Tabela2[[#This Row],[Proposta
 Negociada]]/Tabela2[[#This Row],[Proposta
 Inicial]]-1</f>
        <v>#DIV/0!</v>
      </c>
      <c r="S198"/>
    </row>
    <row r="199" spans="1:19" ht="14.45">
      <c r="A199" s="9"/>
      <c r="B199" s="9"/>
      <c r="C199" s="1" t="str">
        <f t="shared" si="8"/>
        <v/>
      </c>
      <c r="I199" s="1" t="str">
        <f>IFERROR(VLOOKUP(H199,SLA_Ref!$A$1:$B$8,2,FALSE),"")</f>
        <v/>
      </c>
      <c r="J199" s="1" t="str">
        <f t="shared" ca="1" si="7"/>
        <v/>
      </c>
      <c r="K199" s="11" t="e">
        <f>Tabela2[[#This Row],[SLA
Padrão]]-Tabela2[[#This Row],[SLA Atendimento]]</f>
        <v>#VALUE!</v>
      </c>
      <c r="L199" s="11"/>
      <c r="O199" s="1" t="s">
        <v>30</v>
      </c>
      <c r="P199" s="2">
        <f>Tabela2[[#This Row],[Proposta
 Inicial]]-Tabela2[[#This Row],[Proposta
 Negociada]]</f>
        <v>0</v>
      </c>
      <c r="Q199" s="4" t="e">
        <f>Tabela2[[#This Row],[Proposta
 Negociada]]/Tabela2[[#This Row],[Proposta
 Inicial]]-1</f>
        <v>#DIV/0!</v>
      </c>
      <c r="S199"/>
    </row>
    <row r="200" spans="1:19" ht="14.45">
      <c r="A200" s="9"/>
      <c r="B200" s="9"/>
      <c r="C200" s="1" t="str">
        <f t="shared" si="8"/>
        <v/>
      </c>
      <c r="I200" s="1" t="str">
        <f>IFERROR(VLOOKUP(H200,SLA_Ref!$A$1:$B$8,2,FALSE),"")</f>
        <v/>
      </c>
      <c r="J200" s="1" t="str">
        <f t="shared" ca="1" si="7"/>
        <v/>
      </c>
      <c r="K200" s="11" t="e">
        <f>Tabela2[[#This Row],[SLA
Padrão]]-Tabela2[[#This Row],[SLA Atendimento]]</f>
        <v>#VALUE!</v>
      </c>
      <c r="L200" s="11"/>
      <c r="O200" s="1" t="s">
        <v>30</v>
      </c>
      <c r="P200" s="2">
        <f>Tabela2[[#This Row],[Proposta
 Inicial]]-Tabela2[[#This Row],[Proposta
 Negociada]]</f>
        <v>0</v>
      </c>
      <c r="Q200" s="4" t="e">
        <f>Tabela2[[#This Row],[Proposta
 Negociada]]/Tabela2[[#This Row],[Proposta
 Inicial]]-1</f>
        <v>#DIV/0!</v>
      </c>
      <c r="S200"/>
    </row>
    <row r="201" spans="1:19" ht="14.45">
      <c r="A201" s="9"/>
      <c r="B201" s="9"/>
      <c r="C201" s="1" t="str">
        <f t="shared" si="8"/>
        <v/>
      </c>
      <c r="I201" s="1" t="str">
        <f>IFERROR(VLOOKUP(H201,SLA_Ref!$A$1:$B$8,2,FALSE),"")</f>
        <v/>
      </c>
      <c r="J201" s="1" t="str">
        <f t="shared" ca="1" si="7"/>
        <v/>
      </c>
      <c r="K201" s="11" t="e">
        <f>Tabela2[[#This Row],[SLA
Padrão]]-Tabela2[[#This Row],[SLA Atendimento]]</f>
        <v>#VALUE!</v>
      </c>
      <c r="L201" s="11"/>
      <c r="O201" s="1" t="s">
        <v>30</v>
      </c>
      <c r="P201" s="2">
        <f>Tabela2[[#This Row],[Proposta
 Inicial]]-Tabela2[[#This Row],[Proposta
 Negociada]]</f>
        <v>0</v>
      </c>
      <c r="Q201" s="4" t="e">
        <f>Tabela2[[#This Row],[Proposta
 Negociada]]/Tabela2[[#This Row],[Proposta
 Inicial]]-1</f>
        <v>#DIV/0!</v>
      </c>
      <c r="S201"/>
    </row>
    <row r="202" spans="1:19" ht="14.45">
      <c r="A202" s="9"/>
      <c r="B202" s="9"/>
      <c r="C202" s="1" t="str">
        <f t="shared" si="8"/>
        <v/>
      </c>
      <c r="I202" s="1" t="str">
        <f>IFERROR(VLOOKUP(H202,SLA_Ref!$A$1:$B$8,2,FALSE),"")</f>
        <v/>
      </c>
      <c r="J202" s="1" t="str">
        <f t="shared" ca="1" si="7"/>
        <v/>
      </c>
      <c r="K202" s="11" t="e">
        <f>Tabela2[[#This Row],[SLA
Padrão]]-Tabela2[[#This Row],[SLA Atendimento]]</f>
        <v>#VALUE!</v>
      </c>
      <c r="L202" s="11"/>
      <c r="O202" s="1" t="s">
        <v>30</v>
      </c>
      <c r="P202" s="2">
        <f>Tabela2[[#This Row],[Proposta
 Inicial]]-Tabela2[[#This Row],[Proposta
 Negociada]]</f>
        <v>0</v>
      </c>
      <c r="Q202" s="4" t="e">
        <f>Tabela2[[#This Row],[Proposta
 Negociada]]/Tabela2[[#This Row],[Proposta
 Inicial]]-1</f>
        <v>#DIV/0!</v>
      </c>
      <c r="S202"/>
    </row>
    <row r="203" spans="1:19" ht="14.45">
      <c r="A203" s="9"/>
      <c r="B203" s="9"/>
      <c r="C203" s="1" t="str">
        <f t="shared" si="8"/>
        <v/>
      </c>
      <c r="I203" s="1" t="str">
        <f>IFERROR(VLOOKUP(H203,SLA_Ref!$A$1:$B$8,2,FALSE),"")</f>
        <v/>
      </c>
      <c r="J203" s="1" t="str">
        <f t="shared" ca="1" si="7"/>
        <v/>
      </c>
      <c r="K203" s="11" t="e">
        <f>Tabela2[[#This Row],[SLA
Padrão]]-Tabela2[[#This Row],[SLA Atendimento]]</f>
        <v>#VALUE!</v>
      </c>
      <c r="L203" s="11"/>
      <c r="O203" s="1" t="s">
        <v>30</v>
      </c>
      <c r="P203" s="2">
        <f>Tabela2[[#This Row],[Proposta
 Inicial]]-Tabela2[[#This Row],[Proposta
 Negociada]]</f>
        <v>0</v>
      </c>
      <c r="Q203" s="4" t="e">
        <f>Tabela2[[#This Row],[Proposta
 Negociada]]/Tabela2[[#This Row],[Proposta
 Inicial]]-1</f>
        <v>#DIV/0!</v>
      </c>
      <c r="S203"/>
    </row>
    <row r="204" spans="1:19" ht="14.45">
      <c r="A204" s="9"/>
      <c r="B204" s="9"/>
      <c r="C204" s="1" t="str">
        <f t="shared" si="8"/>
        <v/>
      </c>
      <c r="I204" s="1" t="str">
        <f>IFERROR(VLOOKUP(H204,SLA_Ref!$A$1:$B$8,2,FALSE),"")</f>
        <v/>
      </c>
      <c r="J204" s="1" t="str">
        <f t="shared" ca="1" si="7"/>
        <v/>
      </c>
      <c r="K204" s="11" t="e">
        <f>Tabela2[[#This Row],[SLA
Padrão]]-Tabela2[[#This Row],[SLA Atendimento]]</f>
        <v>#VALUE!</v>
      </c>
      <c r="L204" s="11"/>
      <c r="O204" s="1" t="s">
        <v>30</v>
      </c>
      <c r="P204" s="2">
        <f>Tabela2[[#This Row],[Proposta
 Inicial]]-Tabela2[[#This Row],[Proposta
 Negociada]]</f>
        <v>0</v>
      </c>
      <c r="Q204" s="4" t="e">
        <f>Tabela2[[#This Row],[Proposta
 Negociada]]/Tabela2[[#This Row],[Proposta
 Inicial]]-1</f>
        <v>#DIV/0!</v>
      </c>
      <c r="S204"/>
    </row>
    <row r="205" spans="1:19" ht="14.45">
      <c r="A205" s="9"/>
      <c r="B205" s="9"/>
      <c r="C205" s="1" t="str">
        <f t="shared" si="8"/>
        <v/>
      </c>
      <c r="I205" s="1" t="str">
        <f>IFERROR(VLOOKUP(H205,SLA_Ref!$A$1:$B$8,2,FALSE),"")</f>
        <v/>
      </c>
      <c r="J205" s="1" t="str">
        <f t="shared" ca="1" si="7"/>
        <v/>
      </c>
      <c r="K205" s="11" t="e">
        <f>Tabela2[[#This Row],[SLA
Padrão]]-Tabela2[[#This Row],[SLA Atendimento]]</f>
        <v>#VALUE!</v>
      </c>
      <c r="L205" s="11"/>
      <c r="O205" s="1" t="s">
        <v>30</v>
      </c>
      <c r="P205" s="2">
        <f>Tabela2[[#This Row],[Proposta
 Inicial]]-Tabela2[[#This Row],[Proposta
 Negociada]]</f>
        <v>0</v>
      </c>
      <c r="Q205" s="4" t="e">
        <f>Tabela2[[#This Row],[Proposta
 Negociada]]/Tabela2[[#This Row],[Proposta
 Inicial]]-1</f>
        <v>#DIV/0!</v>
      </c>
      <c r="S205"/>
    </row>
    <row r="206" spans="1:19" ht="14.45">
      <c r="A206" s="9"/>
      <c r="B206" s="9"/>
      <c r="C206" s="1" t="str">
        <f t="shared" si="8"/>
        <v/>
      </c>
      <c r="I206" s="1" t="str">
        <f>IFERROR(VLOOKUP(H206,SLA_Ref!$A$1:$B$8,2,FALSE),"")</f>
        <v/>
      </c>
      <c r="J206" s="1" t="str">
        <f t="shared" ca="1" si="7"/>
        <v/>
      </c>
      <c r="K206" s="11" t="e">
        <f>Tabela2[[#This Row],[SLA
Padrão]]-Tabela2[[#This Row],[SLA Atendimento]]</f>
        <v>#VALUE!</v>
      </c>
      <c r="L206" s="11"/>
      <c r="O206" s="1" t="s">
        <v>30</v>
      </c>
      <c r="P206" s="2">
        <f>Tabela2[[#This Row],[Proposta
 Inicial]]-Tabela2[[#This Row],[Proposta
 Negociada]]</f>
        <v>0</v>
      </c>
      <c r="Q206" s="4" t="e">
        <f>Tabela2[[#This Row],[Proposta
 Negociada]]/Tabela2[[#This Row],[Proposta
 Inicial]]-1</f>
        <v>#DIV/0!</v>
      </c>
      <c r="S206"/>
    </row>
    <row r="207" spans="1:19" ht="14.45">
      <c r="A207" s="9"/>
      <c r="B207" s="9"/>
      <c r="C207" s="1" t="str">
        <f t="shared" si="8"/>
        <v/>
      </c>
      <c r="I207" s="1" t="str">
        <f>IFERROR(VLOOKUP(H207,SLA_Ref!$A$1:$B$8,2,FALSE),"")</f>
        <v/>
      </c>
      <c r="J207" s="1" t="str">
        <f t="shared" ca="1" si="7"/>
        <v/>
      </c>
      <c r="K207" s="11" t="e">
        <f>Tabela2[[#This Row],[SLA
Padrão]]-Tabela2[[#This Row],[SLA Atendimento]]</f>
        <v>#VALUE!</v>
      </c>
      <c r="L207" s="11"/>
      <c r="O207" s="1" t="s">
        <v>30</v>
      </c>
      <c r="P207" s="2">
        <f>Tabela2[[#This Row],[Proposta
 Inicial]]-Tabela2[[#This Row],[Proposta
 Negociada]]</f>
        <v>0</v>
      </c>
      <c r="Q207" s="4" t="e">
        <f>Tabela2[[#This Row],[Proposta
 Negociada]]/Tabela2[[#This Row],[Proposta
 Inicial]]-1</f>
        <v>#DIV/0!</v>
      </c>
      <c r="S207"/>
    </row>
    <row r="208" spans="1:19" ht="14.45">
      <c r="A208" s="9"/>
      <c r="B208" s="9"/>
      <c r="C208" s="1" t="str">
        <f t="shared" si="8"/>
        <v/>
      </c>
      <c r="I208" s="1" t="str">
        <f>IFERROR(VLOOKUP(H208,SLA_Ref!$A$1:$B$8,2,FALSE),"")</f>
        <v/>
      </c>
      <c r="J208" s="1" t="str">
        <f t="shared" ca="1" si="7"/>
        <v/>
      </c>
      <c r="K208" s="11" t="e">
        <f>Tabela2[[#This Row],[SLA
Padrão]]-Tabela2[[#This Row],[SLA Atendimento]]</f>
        <v>#VALUE!</v>
      </c>
      <c r="L208" s="11"/>
      <c r="O208" s="1" t="s">
        <v>30</v>
      </c>
      <c r="P208" s="2">
        <f>Tabela2[[#This Row],[Proposta
 Inicial]]-Tabela2[[#This Row],[Proposta
 Negociada]]</f>
        <v>0</v>
      </c>
      <c r="Q208" s="4" t="e">
        <f>Tabela2[[#This Row],[Proposta
 Negociada]]/Tabela2[[#This Row],[Proposta
 Inicial]]-1</f>
        <v>#DIV/0!</v>
      </c>
      <c r="S208"/>
    </row>
    <row r="209" spans="1:19" ht="14.45">
      <c r="A209" s="9"/>
      <c r="B209" s="9"/>
      <c r="C209" s="1" t="str">
        <f t="shared" si="8"/>
        <v/>
      </c>
      <c r="I209" s="1" t="str">
        <f>IFERROR(VLOOKUP(H209,SLA_Ref!$A$1:$B$8,2,FALSE),"")</f>
        <v/>
      </c>
      <c r="J209" s="1" t="str">
        <f t="shared" ca="1" si="7"/>
        <v/>
      </c>
      <c r="K209" s="11" t="e">
        <f>Tabela2[[#This Row],[SLA
Padrão]]-Tabela2[[#This Row],[SLA Atendimento]]</f>
        <v>#VALUE!</v>
      </c>
      <c r="L209" s="11"/>
      <c r="O209" s="1" t="s">
        <v>30</v>
      </c>
      <c r="P209" s="2">
        <f>Tabela2[[#This Row],[Proposta
 Inicial]]-Tabela2[[#This Row],[Proposta
 Negociada]]</f>
        <v>0</v>
      </c>
      <c r="Q209" s="4" t="e">
        <f>Tabela2[[#This Row],[Proposta
 Negociada]]/Tabela2[[#This Row],[Proposta
 Inicial]]-1</f>
        <v>#DIV/0!</v>
      </c>
      <c r="S209"/>
    </row>
    <row r="210" spans="1:19" ht="14.45">
      <c r="A210" s="9"/>
      <c r="B210" s="9"/>
      <c r="C210" s="1" t="str">
        <f t="shared" si="8"/>
        <v/>
      </c>
      <c r="I210" s="1" t="str">
        <f>IFERROR(VLOOKUP(H210,SLA_Ref!$A$1:$B$8,2,FALSE),"")</f>
        <v/>
      </c>
      <c r="J210" s="1" t="str">
        <f t="shared" ca="1" si="7"/>
        <v/>
      </c>
      <c r="K210" s="11" t="e">
        <f>Tabela2[[#This Row],[SLA
Padrão]]-Tabela2[[#This Row],[SLA Atendimento]]</f>
        <v>#VALUE!</v>
      </c>
      <c r="L210" s="11"/>
      <c r="O210" s="1" t="s">
        <v>30</v>
      </c>
      <c r="P210" s="2">
        <f>Tabela2[[#This Row],[Proposta
 Inicial]]-Tabela2[[#This Row],[Proposta
 Negociada]]</f>
        <v>0</v>
      </c>
      <c r="Q210" s="4" t="e">
        <f>Tabela2[[#This Row],[Proposta
 Negociada]]/Tabela2[[#This Row],[Proposta
 Inicial]]-1</f>
        <v>#DIV/0!</v>
      </c>
      <c r="S210"/>
    </row>
    <row r="211" spans="1:19" ht="14.45">
      <c r="A211" s="9"/>
      <c r="B211" s="9"/>
      <c r="C211" s="1" t="str">
        <f t="shared" si="8"/>
        <v/>
      </c>
      <c r="I211" s="1" t="str">
        <f>IFERROR(VLOOKUP(H211,SLA_Ref!$A$1:$B$8,2,FALSE),"")</f>
        <v/>
      </c>
      <c r="J211" s="1" t="str">
        <f t="shared" ca="1" si="7"/>
        <v/>
      </c>
      <c r="K211" s="11" t="e">
        <f>Tabela2[[#This Row],[SLA
Padrão]]-Tabela2[[#This Row],[SLA Atendimento]]</f>
        <v>#VALUE!</v>
      </c>
      <c r="L211" s="11"/>
      <c r="O211" s="1" t="s">
        <v>30</v>
      </c>
      <c r="P211" s="2">
        <f>Tabela2[[#This Row],[Proposta
 Inicial]]-Tabela2[[#This Row],[Proposta
 Negociada]]</f>
        <v>0</v>
      </c>
      <c r="Q211" s="4" t="e">
        <f>Tabela2[[#This Row],[Proposta
 Negociada]]/Tabela2[[#This Row],[Proposta
 Inicial]]-1</f>
        <v>#DIV/0!</v>
      </c>
      <c r="S211"/>
    </row>
    <row r="212" spans="1:19" ht="14.45">
      <c r="A212" s="9"/>
      <c r="B212" s="9"/>
      <c r="C212" s="1" t="str">
        <f t="shared" si="8"/>
        <v/>
      </c>
      <c r="I212" s="1" t="str">
        <f>IFERROR(VLOOKUP(H212,SLA_Ref!$A$1:$B$8,2,FALSE),"")</f>
        <v/>
      </c>
      <c r="J212" s="1" t="str">
        <f t="shared" ca="1" si="7"/>
        <v/>
      </c>
      <c r="K212" s="11" t="e">
        <f>Tabela2[[#This Row],[SLA
Padrão]]-Tabela2[[#This Row],[SLA Atendimento]]</f>
        <v>#VALUE!</v>
      </c>
      <c r="L212" s="11"/>
      <c r="O212" s="1" t="s">
        <v>30</v>
      </c>
      <c r="P212" s="2">
        <f>Tabela2[[#This Row],[Proposta
 Inicial]]-Tabela2[[#This Row],[Proposta
 Negociada]]</f>
        <v>0</v>
      </c>
      <c r="Q212" s="4" t="e">
        <f>Tabela2[[#This Row],[Proposta
 Negociada]]/Tabela2[[#This Row],[Proposta
 Inicial]]-1</f>
        <v>#DIV/0!</v>
      </c>
      <c r="S212"/>
    </row>
    <row r="213" spans="1:19" ht="14.45">
      <c r="A213" s="9"/>
      <c r="B213" s="9"/>
      <c r="C213" s="1" t="str">
        <f t="shared" si="8"/>
        <v/>
      </c>
      <c r="I213" s="1" t="str">
        <f>IFERROR(VLOOKUP(H213,SLA_Ref!$A$1:$B$8,2,FALSE),"")</f>
        <v/>
      </c>
      <c r="J213" s="1" t="str">
        <f t="shared" ca="1" si="7"/>
        <v/>
      </c>
      <c r="K213" s="11" t="e">
        <f>Tabela2[[#This Row],[SLA
Padrão]]-Tabela2[[#This Row],[SLA Atendimento]]</f>
        <v>#VALUE!</v>
      </c>
      <c r="L213" s="11"/>
      <c r="O213" s="1" t="s">
        <v>30</v>
      </c>
      <c r="P213" s="2">
        <f>Tabela2[[#This Row],[Proposta
 Inicial]]-Tabela2[[#This Row],[Proposta
 Negociada]]</f>
        <v>0</v>
      </c>
      <c r="Q213" s="4" t="e">
        <f>Tabela2[[#This Row],[Proposta
 Negociada]]/Tabela2[[#This Row],[Proposta
 Inicial]]-1</f>
        <v>#DIV/0!</v>
      </c>
      <c r="S213"/>
    </row>
    <row r="214" spans="1:19" ht="14.45">
      <c r="A214" s="9"/>
      <c r="B214" s="9"/>
      <c r="C214" s="1" t="str">
        <f t="shared" si="8"/>
        <v/>
      </c>
      <c r="I214" s="1" t="str">
        <f>IFERROR(VLOOKUP(H214,SLA_Ref!$A$1:$B$8,2,FALSE),"")</f>
        <v/>
      </c>
      <c r="J214" s="1" t="str">
        <f t="shared" ca="1" si="7"/>
        <v/>
      </c>
      <c r="K214" s="11" t="e">
        <f>Tabela2[[#This Row],[SLA
Padrão]]-Tabela2[[#This Row],[SLA Atendimento]]</f>
        <v>#VALUE!</v>
      </c>
      <c r="L214" s="11"/>
      <c r="O214" s="1" t="s">
        <v>30</v>
      </c>
      <c r="P214" s="2">
        <f>Tabela2[[#This Row],[Proposta
 Inicial]]-Tabela2[[#This Row],[Proposta
 Negociada]]</f>
        <v>0</v>
      </c>
      <c r="Q214" s="4" t="e">
        <f>Tabela2[[#This Row],[Proposta
 Negociada]]/Tabela2[[#This Row],[Proposta
 Inicial]]-1</f>
        <v>#DIV/0!</v>
      </c>
      <c r="S214"/>
    </row>
    <row r="215" spans="1:19" ht="14.45">
      <c r="A215" s="9"/>
      <c r="B215" s="9"/>
      <c r="C215" s="1" t="str">
        <f t="shared" si="8"/>
        <v/>
      </c>
      <c r="I215" s="1" t="str">
        <f>IFERROR(VLOOKUP(H215,SLA_Ref!$A$1:$B$8,2,FALSE),"")</f>
        <v/>
      </c>
      <c r="J215" s="1" t="str">
        <f t="shared" ca="1" si="7"/>
        <v/>
      </c>
      <c r="K215" s="11" t="e">
        <f>Tabela2[[#This Row],[SLA
Padrão]]-Tabela2[[#This Row],[SLA Atendimento]]</f>
        <v>#VALUE!</v>
      </c>
      <c r="L215" s="11"/>
      <c r="O215" s="1" t="s">
        <v>30</v>
      </c>
      <c r="P215" s="2">
        <f>Tabela2[[#This Row],[Proposta
 Inicial]]-Tabela2[[#This Row],[Proposta
 Negociada]]</f>
        <v>0</v>
      </c>
      <c r="Q215" s="4" t="e">
        <f>Tabela2[[#This Row],[Proposta
 Negociada]]/Tabela2[[#This Row],[Proposta
 Inicial]]-1</f>
        <v>#DIV/0!</v>
      </c>
      <c r="S215"/>
    </row>
    <row r="216" spans="1:19" ht="14.45">
      <c r="A216" s="9"/>
      <c r="B216" s="9"/>
      <c r="C216" s="1" t="str">
        <f t="shared" si="8"/>
        <v/>
      </c>
      <c r="I216" s="1" t="str">
        <f>IFERROR(VLOOKUP(H216,SLA_Ref!$A$1:$B$8,2,FALSE),"")</f>
        <v/>
      </c>
      <c r="J216" s="1" t="str">
        <f t="shared" ca="1" si="7"/>
        <v/>
      </c>
      <c r="K216" s="11" t="e">
        <f>Tabela2[[#This Row],[SLA
Padrão]]-Tabela2[[#This Row],[SLA Atendimento]]</f>
        <v>#VALUE!</v>
      </c>
      <c r="L216" s="11"/>
      <c r="O216" s="1" t="s">
        <v>30</v>
      </c>
      <c r="P216" s="2">
        <f>Tabela2[[#This Row],[Proposta
 Inicial]]-Tabela2[[#This Row],[Proposta
 Negociada]]</f>
        <v>0</v>
      </c>
      <c r="Q216" s="4" t="e">
        <f>Tabela2[[#This Row],[Proposta
 Negociada]]/Tabela2[[#This Row],[Proposta
 Inicial]]-1</f>
        <v>#DIV/0!</v>
      </c>
      <c r="S216"/>
    </row>
    <row r="217" spans="1:19" ht="14.45">
      <c r="A217" s="9"/>
      <c r="B217" s="9"/>
      <c r="C217" s="1" t="str">
        <f t="shared" si="8"/>
        <v/>
      </c>
      <c r="I217" s="1" t="str">
        <f>IFERROR(VLOOKUP(H217,SLA_Ref!$A$1:$B$8,2,FALSE),"")</f>
        <v/>
      </c>
      <c r="J217" s="1" t="str">
        <f t="shared" ca="1" si="7"/>
        <v/>
      </c>
      <c r="K217" s="11" t="e">
        <f>Tabela2[[#This Row],[SLA
Padrão]]-Tabela2[[#This Row],[SLA Atendimento]]</f>
        <v>#VALUE!</v>
      </c>
      <c r="L217" s="11"/>
      <c r="O217" s="1" t="s">
        <v>30</v>
      </c>
      <c r="P217" s="2">
        <f>Tabela2[[#This Row],[Proposta
 Inicial]]-Tabela2[[#This Row],[Proposta
 Negociada]]</f>
        <v>0</v>
      </c>
      <c r="Q217" s="4" t="e">
        <f>Tabela2[[#This Row],[Proposta
 Negociada]]/Tabela2[[#This Row],[Proposta
 Inicial]]-1</f>
        <v>#DIV/0!</v>
      </c>
      <c r="S217"/>
    </row>
    <row r="218" spans="1:19" ht="14.45">
      <c r="A218" s="9"/>
      <c r="B218" s="9"/>
      <c r="C218" s="1" t="str">
        <f t="shared" si="8"/>
        <v/>
      </c>
      <c r="I218" s="1" t="str">
        <f>IFERROR(VLOOKUP(H218,SLA_Ref!$A$1:$B$8,2,FALSE),"")</f>
        <v/>
      </c>
      <c r="J218" s="1" t="str">
        <f t="shared" ca="1" si="7"/>
        <v/>
      </c>
      <c r="K218" s="11" t="e">
        <f>Tabela2[[#This Row],[SLA
Padrão]]-Tabela2[[#This Row],[SLA Atendimento]]</f>
        <v>#VALUE!</v>
      </c>
      <c r="L218" s="11"/>
      <c r="O218" s="1" t="s">
        <v>30</v>
      </c>
      <c r="P218" s="2">
        <f>Tabela2[[#This Row],[Proposta
 Inicial]]-Tabela2[[#This Row],[Proposta
 Negociada]]</f>
        <v>0</v>
      </c>
      <c r="Q218" s="4" t="e">
        <f>Tabela2[[#This Row],[Proposta
 Negociada]]/Tabela2[[#This Row],[Proposta
 Inicial]]-1</f>
        <v>#DIV/0!</v>
      </c>
      <c r="S218"/>
    </row>
    <row r="219" spans="1:19" ht="14.45">
      <c r="A219" s="9"/>
      <c r="B219" s="9"/>
      <c r="C219" s="1" t="str">
        <f t="shared" si="8"/>
        <v/>
      </c>
      <c r="I219" s="1" t="str">
        <f>IFERROR(VLOOKUP(H219,SLA_Ref!$A$1:$B$8,2,FALSE),"")</f>
        <v/>
      </c>
      <c r="J219" s="1" t="str">
        <f t="shared" ca="1" si="7"/>
        <v/>
      </c>
      <c r="K219" s="11" t="e">
        <f>Tabela2[[#This Row],[SLA
Padrão]]-Tabela2[[#This Row],[SLA Atendimento]]</f>
        <v>#VALUE!</v>
      </c>
      <c r="L219" s="11"/>
      <c r="O219" s="1" t="s">
        <v>30</v>
      </c>
      <c r="P219" s="2">
        <f>Tabela2[[#This Row],[Proposta
 Inicial]]-Tabela2[[#This Row],[Proposta
 Negociada]]</f>
        <v>0</v>
      </c>
      <c r="Q219" s="4" t="e">
        <f>Tabela2[[#This Row],[Proposta
 Negociada]]/Tabela2[[#This Row],[Proposta
 Inicial]]-1</f>
        <v>#DIV/0!</v>
      </c>
      <c r="S219"/>
    </row>
    <row r="220" spans="1:19" ht="14.45">
      <c r="A220" s="9"/>
      <c r="B220" s="9"/>
      <c r="C220" s="1" t="str">
        <f t="shared" si="8"/>
        <v/>
      </c>
      <c r="I220" s="1" t="str">
        <f>IFERROR(VLOOKUP(H220,SLA_Ref!$A$1:$B$8,2,FALSE),"")</f>
        <v/>
      </c>
      <c r="J220" s="1" t="str">
        <f t="shared" ca="1" si="7"/>
        <v/>
      </c>
      <c r="K220" s="11" t="e">
        <f>Tabela2[[#This Row],[SLA
Padrão]]-Tabela2[[#This Row],[SLA Atendimento]]</f>
        <v>#VALUE!</v>
      </c>
      <c r="L220" s="11"/>
      <c r="O220" s="1" t="s">
        <v>30</v>
      </c>
      <c r="P220" s="2">
        <f>Tabela2[[#This Row],[Proposta
 Inicial]]-Tabela2[[#This Row],[Proposta
 Negociada]]</f>
        <v>0</v>
      </c>
      <c r="Q220" s="4" t="e">
        <f>Tabela2[[#This Row],[Proposta
 Negociada]]/Tabela2[[#This Row],[Proposta
 Inicial]]-1</f>
        <v>#DIV/0!</v>
      </c>
      <c r="S220"/>
    </row>
    <row r="221" spans="1:19" ht="14.45">
      <c r="A221" s="9"/>
      <c r="B221" s="9"/>
      <c r="C221" s="1" t="str">
        <f t="shared" si="8"/>
        <v/>
      </c>
      <c r="I221" s="1" t="str">
        <f>IFERROR(VLOOKUP(H221,SLA_Ref!$A$1:$B$8,2,FALSE),"")</f>
        <v/>
      </c>
      <c r="J221" s="1" t="str">
        <f t="shared" ca="1" si="7"/>
        <v/>
      </c>
      <c r="K221" s="11" t="e">
        <f>Tabela2[[#This Row],[SLA
Padrão]]-Tabela2[[#This Row],[SLA Atendimento]]</f>
        <v>#VALUE!</v>
      </c>
      <c r="L221" s="11"/>
      <c r="O221" s="1" t="s">
        <v>30</v>
      </c>
      <c r="P221" s="2">
        <f>Tabela2[[#This Row],[Proposta
 Inicial]]-Tabela2[[#This Row],[Proposta
 Negociada]]</f>
        <v>0</v>
      </c>
      <c r="Q221" s="4" t="e">
        <f>Tabela2[[#This Row],[Proposta
 Negociada]]/Tabela2[[#This Row],[Proposta
 Inicial]]-1</f>
        <v>#DIV/0!</v>
      </c>
      <c r="S221"/>
    </row>
    <row r="222" spans="1:19" ht="14.45">
      <c r="A222" s="9"/>
      <c r="B222" s="9"/>
      <c r="C222" s="1" t="str">
        <f t="shared" si="8"/>
        <v/>
      </c>
      <c r="I222" s="1" t="str">
        <f>IFERROR(VLOOKUP(H222,SLA_Ref!$A$1:$B$8,2,FALSE),"")</f>
        <v/>
      </c>
      <c r="J222" s="1" t="str">
        <f t="shared" ca="1" si="7"/>
        <v/>
      </c>
      <c r="K222" s="11" t="e">
        <f>Tabela2[[#This Row],[SLA
Padrão]]-Tabela2[[#This Row],[SLA Atendimento]]</f>
        <v>#VALUE!</v>
      </c>
      <c r="L222" s="11"/>
      <c r="O222" s="1" t="s">
        <v>30</v>
      </c>
      <c r="P222" s="2">
        <f>Tabela2[[#This Row],[Proposta
 Inicial]]-Tabela2[[#This Row],[Proposta
 Negociada]]</f>
        <v>0</v>
      </c>
      <c r="Q222" s="4" t="e">
        <f>Tabela2[[#This Row],[Proposta
 Negociada]]/Tabela2[[#This Row],[Proposta
 Inicial]]-1</f>
        <v>#DIV/0!</v>
      </c>
      <c r="S222"/>
    </row>
    <row r="223" spans="1:19" ht="14.45">
      <c r="A223" s="9"/>
      <c r="B223" s="9"/>
      <c r="C223" s="1" t="str">
        <f t="shared" si="8"/>
        <v/>
      </c>
      <c r="I223" s="1" t="str">
        <f>IFERROR(VLOOKUP(H223,SLA_Ref!$A$1:$B$8,2,FALSE),"")</f>
        <v/>
      </c>
      <c r="J223" s="1" t="str">
        <f t="shared" ca="1" si="7"/>
        <v/>
      </c>
      <c r="K223" s="11" t="e">
        <f>Tabela2[[#This Row],[SLA
Padrão]]-Tabela2[[#This Row],[SLA Atendimento]]</f>
        <v>#VALUE!</v>
      </c>
      <c r="L223" s="11"/>
      <c r="O223" s="1" t="s">
        <v>30</v>
      </c>
      <c r="P223" s="2">
        <f>Tabela2[[#This Row],[Proposta
 Inicial]]-Tabela2[[#This Row],[Proposta
 Negociada]]</f>
        <v>0</v>
      </c>
      <c r="Q223" s="4" t="e">
        <f>Tabela2[[#This Row],[Proposta
 Negociada]]/Tabela2[[#This Row],[Proposta
 Inicial]]-1</f>
        <v>#DIV/0!</v>
      </c>
      <c r="S223"/>
    </row>
    <row r="224" spans="1:19" ht="14.45">
      <c r="A224" s="9"/>
      <c r="B224" s="9"/>
      <c r="C224" s="1" t="str">
        <f t="shared" si="8"/>
        <v/>
      </c>
      <c r="I224" s="1" t="str">
        <f>IFERROR(VLOOKUP(H224,SLA_Ref!$A$1:$B$8,2,FALSE),"")</f>
        <v/>
      </c>
      <c r="J224" s="1" t="str">
        <f t="shared" ca="1" si="7"/>
        <v/>
      </c>
      <c r="K224" s="11" t="e">
        <f>Tabela2[[#This Row],[SLA
Padrão]]-Tabela2[[#This Row],[SLA Atendimento]]</f>
        <v>#VALUE!</v>
      </c>
      <c r="L224" s="11"/>
      <c r="O224" s="1" t="s">
        <v>30</v>
      </c>
      <c r="P224" s="2">
        <f>Tabela2[[#This Row],[Proposta
 Inicial]]-Tabela2[[#This Row],[Proposta
 Negociada]]</f>
        <v>0</v>
      </c>
      <c r="Q224" s="4" t="e">
        <f>Tabela2[[#This Row],[Proposta
 Negociada]]/Tabela2[[#This Row],[Proposta
 Inicial]]-1</f>
        <v>#DIV/0!</v>
      </c>
      <c r="S224"/>
    </row>
    <row r="225" spans="1:19" ht="14.45">
      <c r="A225" s="9"/>
      <c r="B225" s="9"/>
      <c r="C225" s="1" t="str">
        <f t="shared" si="8"/>
        <v/>
      </c>
      <c r="I225" s="1" t="str">
        <f>IFERROR(VLOOKUP(H225,SLA_Ref!$A$1:$B$8,2,FALSE),"")</f>
        <v/>
      </c>
      <c r="J225" s="1" t="str">
        <f t="shared" ca="1" si="7"/>
        <v/>
      </c>
      <c r="K225" s="11" t="e">
        <f>Tabela2[[#This Row],[SLA
Padrão]]-Tabela2[[#This Row],[SLA Atendimento]]</f>
        <v>#VALUE!</v>
      </c>
      <c r="L225" s="11"/>
      <c r="O225" s="1" t="s">
        <v>30</v>
      </c>
      <c r="P225" s="2">
        <f>Tabela2[[#This Row],[Proposta
 Inicial]]-Tabela2[[#This Row],[Proposta
 Negociada]]</f>
        <v>0</v>
      </c>
      <c r="Q225" s="4" t="e">
        <f>Tabela2[[#This Row],[Proposta
 Negociada]]/Tabela2[[#This Row],[Proposta
 Inicial]]-1</f>
        <v>#DIV/0!</v>
      </c>
      <c r="S225"/>
    </row>
    <row r="226" spans="1:19" ht="14.45">
      <c r="A226" s="9"/>
      <c r="B226" s="9"/>
      <c r="C226" s="1" t="str">
        <f t="shared" si="8"/>
        <v/>
      </c>
      <c r="I226" s="1" t="str">
        <f>IFERROR(VLOOKUP(H226,SLA_Ref!$A$1:$B$8,2,FALSE),"")</f>
        <v/>
      </c>
      <c r="J226" s="1" t="str">
        <f t="shared" ca="1" si="7"/>
        <v/>
      </c>
      <c r="K226" s="11" t="e">
        <f>Tabela2[[#This Row],[SLA
Padrão]]-Tabela2[[#This Row],[SLA Atendimento]]</f>
        <v>#VALUE!</v>
      </c>
      <c r="L226" s="11"/>
      <c r="O226" s="1" t="s">
        <v>30</v>
      </c>
      <c r="P226" s="2">
        <f>Tabela2[[#This Row],[Proposta
 Inicial]]-Tabela2[[#This Row],[Proposta
 Negociada]]</f>
        <v>0</v>
      </c>
      <c r="Q226" s="4" t="e">
        <f>Tabela2[[#This Row],[Proposta
 Negociada]]/Tabela2[[#This Row],[Proposta
 Inicial]]-1</f>
        <v>#DIV/0!</v>
      </c>
      <c r="S226"/>
    </row>
    <row r="227" spans="1:19" ht="14.45">
      <c r="A227" s="9"/>
      <c r="B227" s="9"/>
      <c r="C227" s="1" t="str">
        <f t="shared" si="8"/>
        <v/>
      </c>
      <c r="I227" s="1" t="str">
        <f>IFERROR(VLOOKUP(H227,SLA_Ref!$A$1:$B$8,2,FALSE),"")</f>
        <v/>
      </c>
      <c r="J227" s="1" t="str">
        <f t="shared" ca="1" si="7"/>
        <v/>
      </c>
      <c r="K227" s="11" t="e">
        <f>Tabela2[[#This Row],[SLA
Padrão]]-Tabela2[[#This Row],[SLA Atendimento]]</f>
        <v>#VALUE!</v>
      </c>
      <c r="L227" s="11"/>
      <c r="O227" s="1" t="s">
        <v>30</v>
      </c>
      <c r="P227" s="2">
        <f>Tabela2[[#This Row],[Proposta
 Inicial]]-Tabela2[[#This Row],[Proposta
 Negociada]]</f>
        <v>0</v>
      </c>
      <c r="Q227" s="4" t="e">
        <f>Tabela2[[#This Row],[Proposta
 Negociada]]/Tabela2[[#This Row],[Proposta
 Inicial]]-1</f>
        <v>#DIV/0!</v>
      </c>
      <c r="S227"/>
    </row>
    <row r="228" spans="1:19" ht="14.45">
      <c r="A228" s="9"/>
      <c r="B228" s="9"/>
      <c r="C228" s="1" t="str">
        <f t="shared" si="8"/>
        <v/>
      </c>
      <c r="I228" s="1" t="str">
        <f>IFERROR(VLOOKUP(H228,SLA_Ref!$A$1:$B$8,2,FALSE),"")</f>
        <v/>
      </c>
      <c r="J228" s="1" t="str">
        <f t="shared" ca="1" si="7"/>
        <v/>
      </c>
      <c r="K228" s="11" t="e">
        <f>Tabela2[[#This Row],[SLA
Padrão]]-Tabela2[[#This Row],[SLA Atendimento]]</f>
        <v>#VALUE!</v>
      </c>
      <c r="L228" s="11"/>
      <c r="O228" s="1" t="s">
        <v>30</v>
      </c>
      <c r="P228" s="2">
        <f>Tabela2[[#This Row],[Proposta
 Inicial]]-Tabela2[[#This Row],[Proposta
 Negociada]]</f>
        <v>0</v>
      </c>
      <c r="Q228" s="4" t="e">
        <f>Tabela2[[#This Row],[Proposta
 Negociada]]/Tabela2[[#This Row],[Proposta
 Inicial]]-1</f>
        <v>#DIV/0!</v>
      </c>
      <c r="S228"/>
    </row>
    <row r="229" spans="1:19" ht="14.45">
      <c r="A229" s="9"/>
      <c r="B229" s="9"/>
      <c r="C229" s="1" t="str">
        <f t="shared" si="8"/>
        <v/>
      </c>
      <c r="I229" s="1" t="str">
        <f>IFERROR(VLOOKUP(H229,SLA_Ref!$A$1:$B$8,2,FALSE),"")</f>
        <v/>
      </c>
      <c r="J229" s="1" t="str">
        <f t="shared" ca="1" si="7"/>
        <v/>
      </c>
      <c r="K229" s="11" t="e">
        <f>Tabela2[[#This Row],[SLA
Padrão]]-Tabela2[[#This Row],[SLA Atendimento]]</f>
        <v>#VALUE!</v>
      </c>
      <c r="L229" s="11"/>
      <c r="O229" s="1" t="s">
        <v>30</v>
      </c>
      <c r="P229" s="2">
        <f>Tabela2[[#This Row],[Proposta
 Inicial]]-Tabela2[[#This Row],[Proposta
 Negociada]]</f>
        <v>0</v>
      </c>
      <c r="Q229" s="4" t="e">
        <f>Tabela2[[#This Row],[Proposta
 Negociada]]/Tabela2[[#This Row],[Proposta
 Inicial]]-1</f>
        <v>#DIV/0!</v>
      </c>
      <c r="S229"/>
    </row>
    <row r="230" spans="1:19" ht="14.45">
      <c r="A230" s="9"/>
      <c r="B230" s="9"/>
      <c r="C230" s="1" t="str">
        <f t="shared" si="8"/>
        <v/>
      </c>
      <c r="I230" s="1" t="str">
        <f>IFERROR(VLOOKUP(H230,SLA_Ref!$A$1:$B$8,2,FALSE),"")</f>
        <v/>
      </c>
      <c r="J230" s="1" t="str">
        <f t="shared" ca="1" si="7"/>
        <v/>
      </c>
      <c r="K230" s="11" t="e">
        <f>Tabela2[[#This Row],[SLA
Padrão]]-Tabela2[[#This Row],[SLA Atendimento]]</f>
        <v>#VALUE!</v>
      </c>
      <c r="L230" s="11"/>
      <c r="O230" s="1" t="s">
        <v>30</v>
      </c>
      <c r="P230" s="2">
        <f>Tabela2[[#This Row],[Proposta
 Inicial]]-Tabela2[[#This Row],[Proposta
 Negociada]]</f>
        <v>0</v>
      </c>
      <c r="Q230" s="4" t="e">
        <f>Tabela2[[#This Row],[Proposta
 Negociada]]/Tabela2[[#This Row],[Proposta
 Inicial]]-1</f>
        <v>#DIV/0!</v>
      </c>
      <c r="S230"/>
    </row>
    <row r="231" spans="1:19" ht="14.45">
      <c r="A231" s="9"/>
      <c r="B231" s="9"/>
      <c r="C231" s="1" t="str">
        <f t="shared" si="8"/>
        <v/>
      </c>
      <c r="I231" s="1" t="str">
        <f>IFERROR(VLOOKUP(H231,SLA_Ref!$A$1:$B$8,2,FALSE),"")</f>
        <v/>
      </c>
      <c r="J231" s="1" t="str">
        <f t="shared" ca="1" si="7"/>
        <v/>
      </c>
      <c r="K231" s="11" t="e">
        <f>Tabela2[[#This Row],[SLA
Padrão]]-Tabela2[[#This Row],[SLA Atendimento]]</f>
        <v>#VALUE!</v>
      </c>
      <c r="L231" s="11"/>
      <c r="O231" s="1" t="s">
        <v>30</v>
      </c>
      <c r="P231" s="2">
        <f>Tabela2[[#This Row],[Proposta
 Inicial]]-Tabela2[[#This Row],[Proposta
 Negociada]]</f>
        <v>0</v>
      </c>
      <c r="Q231" s="4" t="e">
        <f>Tabela2[[#This Row],[Proposta
 Negociada]]/Tabela2[[#This Row],[Proposta
 Inicial]]-1</f>
        <v>#DIV/0!</v>
      </c>
      <c r="S231"/>
    </row>
    <row r="232" spans="1:19" ht="14.45">
      <c r="A232" s="9"/>
      <c r="B232" s="9"/>
      <c r="C232" s="1" t="str">
        <f t="shared" si="8"/>
        <v/>
      </c>
      <c r="I232" s="1" t="str">
        <f>IFERROR(VLOOKUP(H232,SLA_Ref!$A$1:$B$8,2,FALSE),"")</f>
        <v/>
      </c>
      <c r="J232" s="1" t="str">
        <f t="shared" ca="1" si="7"/>
        <v/>
      </c>
      <c r="K232" s="11" t="e">
        <f>Tabela2[[#This Row],[SLA
Padrão]]-Tabela2[[#This Row],[SLA Atendimento]]</f>
        <v>#VALUE!</v>
      </c>
      <c r="L232" s="11"/>
      <c r="O232" s="1" t="s">
        <v>30</v>
      </c>
      <c r="P232" s="2">
        <f>Tabela2[[#This Row],[Proposta
 Inicial]]-Tabela2[[#This Row],[Proposta
 Negociada]]</f>
        <v>0</v>
      </c>
      <c r="Q232" s="4" t="e">
        <f>Tabela2[[#This Row],[Proposta
 Negociada]]/Tabela2[[#This Row],[Proposta
 Inicial]]-1</f>
        <v>#DIV/0!</v>
      </c>
      <c r="S232"/>
    </row>
    <row r="233" spans="1:19" ht="14.45">
      <c r="A233" s="9"/>
      <c r="B233" s="9"/>
      <c r="C233" s="1" t="str">
        <f t="shared" si="8"/>
        <v/>
      </c>
      <c r="I233" s="1" t="str">
        <f>IFERROR(VLOOKUP(H233,SLA_Ref!$A$1:$B$8,2,FALSE),"")</f>
        <v/>
      </c>
      <c r="J233" s="1" t="str">
        <f t="shared" ca="1" si="7"/>
        <v/>
      </c>
      <c r="K233" s="11" t="e">
        <f>Tabela2[[#This Row],[SLA
Padrão]]-Tabela2[[#This Row],[SLA Atendimento]]</f>
        <v>#VALUE!</v>
      </c>
      <c r="L233" s="11"/>
      <c r="O233" s="1" t="s">
        <v>30</v>
      </c>
      <c r="P233" s="2">
        <f>Tabela2[[#This Row],[Proposta
 Inicial]]-Tabela2[[#This Row],[Proposta
 Negociada]]</f>
        <v>0</v>
      </c>
      <c r="Q233" s="4" t="e">
        <f>Tabela2[[#This Row],[Proposta
 Negociada]]/Tabela2[[#This Row],[Proposta
 Inicial]]-1</f>
        <v>#DIV/0!</v>
      </c>
      <c r="S233"/>
    </row>
    <row r="234" spans="1:19" ht="14.45">
      <c r="A234" s="9"/>
      <c r="B234" s="9"/>
      <c r="C234" s="1" t="str">
        <f t="shared" si="8"/>
        <v/>
      </c>
      <c r="I234" s="1" t="str">
        <f>IFERROR(VLOOKUP(H234,SLA_Ref!$A$1:$B$8,2,FALSE),"")</f>
        <v/>
      </c>
      <c r="J234" s="1" t="str">
        <f t="shared" ca="1" si="7"/>
        <v/>
      </c>
      <c r="K234" s="11" t="e">
        <f>Tabela2[[#This Row],[SLA
Padrão]]-Tabela2[[#This Row],[SLA Atendimento]]</f>
        <v>#VALUE!</v>
      </c>
      <c r="L234" s="11"/>
      <c r="O234" s="1" t="s">
        <v>30</v>
      </c>
      <c r="P234" s="2">
        <f>Tabela2[[#This Row],[Proposta
 Inicial]]-Tabela2[[#This Row],[Proposta
 Negociada]]</f>
        <v>0</v>
      </c>
      <c r="Q234" s="4" t="e">
        <f>Tabela2[[#This Row],[Proposta
 Negociada]]/Tabela2[[#This Row],[Proposta
 Inicial]]-1</f>
        <v>#DIV/0!</v>
      </c>
      <c r="S234"/>
    </row>
    <row r="235" spans="1:19" ht="14.45">
      <c r="A235" s="9"/>
      <c r="B235" s="9"/>
      <c r="C235" s="1" t="str">
        <f t="shared" si="8"/>
        <v/>
      </c>
      <c r="I235" s="1" t="str">
        <f>IFERROR(VLOOKUP(H235,SLA_Ref!$A$1:$B$8,2,FALSE),"")</f>
        <v/>
      </c>
      <c r="J235" s="1" t="str">
        <f t="shared" ref="J235:J298" ca="1" si="9">IF(A235="","",IF(B235="",IF(TODAY()-A235&gt;I235,"ATRASADA","EM ANDAMENTO"),IF(B235-A235&gt;I235,"ATRASADA","NO PRAZO")))</f>
        <v/>
      </c>
      <c r="K235" s="11" t="e">
        <f>Tabela2[[#This Row],[SLA
Padrão]]-Tabela2[[#This Row],[SLA Atendimento]]</f>
        <v>#VALUE!</v>
      </c>
      <c r="L235" s="11"/>
      <c r="O235" s="1" t="s">
        <v>30</v>
      </c>
      <c r="P235" s="2">
        <f>Tabela2[[#This Row],[Proposta
 Inicial]]-Tabela2[[#This Row],[Proposta
 Negociada]]</f>
        <v>0</v>
      </c>
      <c r="Q235" s="4" t="e">
        <f>Tabela2[[#This Row],[Proposta
 Negociada]]/Tabela2[[#This Row],[Proposta
 Inicial]]-1</f>
        <v>#DIV/0!</v>
      </c>
      <c r="S235"/>
    </row>
    <row r="236" spans="1:19" ht="14.45">
      <c r="A236" s="9"/>
      <c r="B236" s="9"/>
      <c r="C236" s="1" t="str">
        <f t="shared" si="8"/>
        <v/>
      </c>
      <c r="I236" s="1" t="str">
        <f>IFERROR(VLOOKUP(H236,SLA_Ref!$A$1:$B$8,2,FALSE),"")</f>
        <v/>
      </c>
      <c r="J236" s="1" t="str">
        <f t="shared" ca="1" si="9"/>
        <v/>
      </c>
      <c r="K236" s="11" t="e">
        <f>Tabela2[[#This Row],[SLA
Padrão]]-Tabela2[[#This Row],[SLA Atendimento]]</f>
        <v>#VALUE!</v>
      </c>
      <c r="L236" s="11"/>
      <c r="O236" s="1" t="s">
        <v>30</v>
      </c>
      <c r="P236" s="2">
        <f>Tabela2[[#This Row],[Proposta
 Inicial]]-Tabela2[[#This Row],[Proposta
 Negociada]]</f>
        <v>0</v>
      </c>
      <c r="Q236" s="4" t="e">
        <f>Tabela2[[#This Row],[Proposta
 Negociada]]/Tabela2[[#This Row],[Proposta
 Inicial]]-1</f>
        <v>#DIV/0!</v>
      </c>
      <c r="S236"/>
    </row>
    <row r="237" spans="1:19" ht="14.45">
      <c r="A237" s="9"/>
      <c r="B237" s="9"/>
      <c r="C237" s="1" t="str">
        <f t="shared" si="8"/>
        <v/>
      </c>
      <c r="I237" s="1" t="str">
        <f>IFERROR(VLOOKUP(H237,SLA_Ref!$A$1:$B$8,2,FALSE),"")</f>
        <v/>
      </c>
      <c r="J237" s="1" t="str">
        <f t="shared" ca="1" si="9"/>
        <v/>
      </c>
      <c r="K237" s="11" t="e">
        <f>Tabela2[[#This Row],[SLA
Padrão]]-Tabela2[[#This Row],[SLA Atendimento]]</f>
        <v>#VALUE!</v>
      </c>
      <c r="L237" s="11"/>
      <c r="O237" s="1" t="s">
        <v>30</v>
      </c>
      <c r="P237" s="2">
        <f>Tabela2[[#This Row],[Proposta
 Inicial]]-Tabela2[[#This Row],[Proposta
 Negociada]]</f>
        <v>0</v>
      </c>
      <c r="Q237" s="4" t="e">
        <f>Tabela2[[#This Row],[Proposta
 Negociada]]/Tabela2[[#This Row],[Proposta
 Inicial]]-1</f>
        <v>#DIV/0!</v>
      </c>
      <c r="S237"/>
    </row>
    <row r="238" spans="1:19" ht="14.45">
      <c r="A238" s="9"/>
      <c r="B238" s="9"/>
      <c r="C238" s="1" t="str">
        <f t="shared" si="8"/>
        <v/>
      </c>
      <c r="I238" s="1" t="str">
        <f>IFERROR(VLOOKUP(H238,SLA_Ref!$A$1:$B$8,2,FALSE),"")</f>
        <v/>
      </c>
      <c r="J238" s="1" t="str">
        <f t="shared" ca="1" si="9"/>
        <v/>
      </c>
      <c r="K238" s="11" t="e">
        <f>Tabela2[[#This Row],[SLA
Padrão]]-Tabela2[[#This Row],[SLA Atendimento]]</f>
        <v>#VALUE!</v>
      </c>
      <c r="L238" s="11"/>
      <c r="O238" s="1" t="s">
        <v>30</v>
      </c>
      <c r="P238" s="2">
        <f>Tabela2[[#This Row],[Proposta
 Inicial]]-Tabela2[[#This Row],[Proposta
 Negociada]]</f>
        <v>0</v>
      </c>
      <c r="Q238" s="4" t="e">
        <f>Tabela2[[#This Row],[Proposta
 Negociada]]/Tabela2[[#This Row],[Proposta
 Inicial]]-1</f>
        <v>#DIV/0!</v>
      </c>
      <c r="S238"/>
    </row>
    <row r="239" spans="1:19" ht="14.45">
      <c r="A239" s="9"/>
      <c r="B239" s="9"/>
      <c r="C239" s="1" t="str">
        <f t="shared" si="8"/>
        <v/>
      </c>
      <c r="I239" s="1" t="str">
        <f>IFERROR(VLOOKUP(H239,SLA_Ref!$A$1:$B$8,2,FALSE),"")</f>
        <v/>
      </c>
      <c r="J239" s="1" t="str">
        <f t="shared" ca="1" si="9"/>
        <v/>
      </c>
      <c r="K239" s="11" t="e">
        <f>Tabela2[[#This Row],[SLA
Padrão]]-Tabela2[[#This Row],[SLA Atendimento]]</f>
        <v>#VALUE!</v>
      </c>
      <c r="L239" s="11"/>
      <c r="O239" s="1" t="s">
        <v>30</v>
      </c>
      <c r="P239" s="2">
        <f>Tabela2[[#This Row],[Proposta
 Inicial]]-Tabela2[[#This Row],[Proposta
 Negociada]]</f>
        <v>0</v>
      </c>
      <c r="Q239" s="4" t="e">
        <f>Tabela2[[#This Row],[Proposta
 Negociada]]/Tabela2[[#This Row],[Proposta
 Inicial]]-1</f>
        <v>#DIV/0!</v>
      </c>
      <c r="S239"/>
    </row>
    <row r="240" spans="1:19" ht="14.45">
      <c r="A240" s="9"/>
      <c r="B240" s="9"/>
      <c r="C240" s="1" t="str">
        <f t="shared" si="8"/>
        <v/>
      </c>
      <c r="I240" s="1" t="str">
        <f>IFERROR(VLOOKUP(H240,SLA_Ref!$A$1:$B$8,2,FALSE),"")</f>
        <v/>
      </c>
      <c r="J240" s="1" t="str">
        <f t="shared" ca="1" si="9"/>
        <v/>
      </c>
      <c r="K240" s="11" t="e">
        <f>Tabela2[[#This Row],[SLA
Padrão]]-Tabela2[[#This Row],[SLA Atendimento]]</f>
        <v>#VALUE!</v>
      </c>
      <c r="L240" s="11"/>
      <c r="O240" s="1" t="s">
        <v>30</v>
      </c>
      <c r="P240" s="2">
        <f>Tabela2[[#This Row],[Proposta
 Inicial]]-Tabela2[[#This Row],[Proposta
 Negociada]]</f>
        <v>0</v>
      </c>
      <c r="Q240" s="4" t="e">
        <f>Tabela2[[#This Row],[Proposta
 Negociada]]/Tabela2[[#This Row],[Proposta
 Inicial]]-1</f>
        <v>#DIV/0!</v>
      </c>
      <c r="S240"/>
    </row>
    <row r="241" spans="1:19" ht="14.45">
      <c r="A241" s="9"/>
      <c r="B241" s="9"/>
      <c r="C241" s="1" t="str">
        <f t="shared" si="8"/>
        <v/>
      </c>
      <c r="I241" s="1" t="str">
        <f>IFERROR(VLOOKUP(H241,SLA_Ref!$A$1:$B$8,2,FALSE),"")</f>
        <v/>
      </c>
      <c r="J241" s="1" t="str">
        <f t="shared" ca="1" si="9"/>
        <v/>
      </c>
      <c r="K241" s="11" t="e">
        <f>Tabela2[[#This Row],[SLA
Padrão]]-Tabela2[[#This Row],[SLA Atendimento]]</f>
        <v>#VALUE!</v>
      </c>
      <c r="L241" s="11"/>
      <c r="O241" s="1" t="s">
        <v>30</v>
      </c>
      <c r="P241" s="2">
        <f>Tabela2[[#This Row],[Proposta
 Inicial]]-Tabela2[[#This Row],[Proposta
 Negociada]]</f>
        <v>0</v>
      </c>
      <c r="Q241" s="4" t="e">
        <f>Tabela2[[#This Row],[Proposta
 Negociada]]/Tabela2[[#This Row],[Proposta
 Inicial]]-1</f>
        <v>#DIV/0!</v>
      </c>
      <c r="S241"/>
    </row>
    <row r="242" spans="1:19" ht="14.45">
      <c r="A242" s="9"/>
      <c r="B242" s="9"/>
      <c r="C242" s="1" t="str">
        <f t="shared" si="8"/>
        <v/>
      </c>
      <c r="I242" s="1" t="str">
        <f>IFERROR(VLOOKUP(H242,SLA_Ref!$A$1:$B$8,2,FALSE),"")</f>
        <v/>
      </c>
      <c r="J242" s="1" t="str">
        <f t="shared" ca="1" si="9"/>
        <v/>
      </c>
      <c r="K242" s="11" t="e">
        <f>Tabela2[[#This Row],[SLA
Padrão]]-Tabela2[[#This Row],[SLA Atendimento]]</f>
        <v>#VALUE!</v>
      </c>
      <c r="L242" s="11"/>
      <c r="O242" s="1" t="s">
        <v>30</v>
      </c>
      <c r="P242" s="2">
        <f>Tabela2[[#This Row],[Proposta
 Inicial]]-Tabela2[[#This Row],[Proposta
 Negociada]]</f>
        <v>0</v>
      </c>
      <c r="Q242" s="4" t="e">
        <f>Tabela2[[#This Row],[Proposta
 Negociada]]/Tabela2[[#This Row],[Proposta
 Inicial]]-1</f>
        <v>#DIV/0!</v>
      </c>
      <c r="S242"/>
    </row>
    <row r="243" spans="1:19" ht="14.45">
      <c r="A243" s="9"/>
      <c r="B243" s="9"/>
      <c r="C243" s="1" t="str">
        <f t="shared" si="8"/>
        <v/>
      </c>
      <c r="I243" s="1" t="str">
        <f>IFERROR(VLOOKUP(H243,SLA_Ref!$A$1:$B$8,2,FALSE),"")</f>
        <v/>
      </c>
      <c r="J243" s="1" t="str">
        <f t="shared" ca="1" si="9"/>
        <v/>
      </c>
      <c r="K243" s="11" t="e">
        <f>Tabela2[[#This Row],[SLA
Padrão]]-Tabela2[[#This Row],[SLA Atendimento]]</f>
        <v>#VALUE!</v>
      </c>
      <c r="L243" s="11"/>
      <c r="O243" s="1" t="s">
        <v>30</v>
      </c>
      <c r="P243" s="2">
        <f>Tabela2[[#This Row],[Proposta
 Inicial]]-Tabela2[[#This Row],[Proposta
 Negociada]]</f>
        <v>0</v>
      </c>
      <c r="Q243" s="4" t="e">
        <f>Tabela2[[#This Row],[Proposta
 Negociada]]/Tabela2[[#This Row],[Proposta
 Inicial]]-1</f>
        <v>#DIV/0!</v>
      </c>
      <c r="S243"/>
    </row>
    <row r="244" spans="1:19" ht="14.45">
      <c r="A244" s="9"/>
      <c r="B244" s="9"/>
      <c r="C244" s="1" t="str">
        <f t="shared" si="8"/>
        <v/>
      </c>
      <c r="I244" s="1" t="str">
        <f>IFERROR(VLOOKUP(H244,SLA_Ref!$A$1:$B$8,2,FALSE),"")</f>
        <v/>
      </c>
      <c r="J244" s="1" t="str">
        <f t="shared" ca="1" si="9"/>
        <v/>
      </c>
      <c r="K244" s="11" t="e">
        <f>Tabela2[[#This Row],[SLA
Padrão]]-Tabela2[[#This Row],[SLA Atendimento]]</f>
        <v>#VALUE!</v>
      </c>
      <c r="L244" s="11"/>
      <c r="O244" s="1" t="s">
        <v>30</v>
      </c>
      <c r="P244" s="2">
        <f>Tabela2[[#This Row],[Proposta
 Inicial]]-Tabela2[[#This Row],[Proposta
 Negociada]]</f>
        <v>0</v>
      </c>
      <c r="Q244" s="4" t="e">
        <f>Tabela2[[#This Row],[Proposta
 Negociada]]/Tabela2[[#This Row],[Proposta
 Inicial]]-1</f>
        <v>#DIV/0!</v>
      </c>
      <c r="S244"/>
    </row>
    <row r="245" spans="1:19" ht="14.45">
      <c r="A245" s="9"/>
      <c r="B245" s="9"/>
      <c r="C245" s="1" t="str">
        <f t="shared" si="8"/>
        <v/>
      </c>
      <c r="I245" s="1" t="str">
        <f>IFERROR(VLOOKUP(H245,SLA_Ref!$A$1:$B$8,2,FALSE),"")</f>
        <v/>
      </c>
      <c r="J245" s="1" t="str">
        <f t="shared" ca="1" si="9"/>
        <v/>
      </c>
      <c r="K245" s="11" t="e">
        <f>Tabela2[[#This Row],[SLA
Padrão]]-Tabela2[[#This Row],[SLA Atendimento]]</f>
        <v>#VALUE!</v>
      </c>
      <c r="L245" s="11"/>
      <c r="O245" s="1" t="s">
        <v>30</v>
      </c>
      <c r="P245" s="2">
        <f>Tabela2[[#This Row],[Proposta
 Inicial]]-Tabela2[[#This Row],[Proposta
 Negociada]]</f>
        <v>0</v>
      </c>
      <c r="Q245" s="4" t="e">
        <f>Tabela2[[#This Row],[Proposta
 Negociada]]/Tabela2[[#This Row],[Proposta
 Inicial]]-1</f>
        <v>#DIV/0!</v>
      </c>
      <c r="S245"/>
    </row>
    <row r="246" spans="1:19" ht="14.45">
      <c r="A246" s="9"/>
      <c r="B246" s="9"/>
      <c r="C246" s="1" t="str">
        <f t="shared" si="8"/>
        <v/>
      </c>
      <c r="I246" s="1" t="str">
        <f>IFERROR(VLOOKUP(H246,SLA_Ref!$A$1:$B$8,2,FALSE),"")</f>
        <v/>
      </c>
      <c r="J246" s="1" t="str">
        <f t="shared" ca="1" si="9"/>
        <v/>
      </c>
      <c r="K246" s="11" t="e">
        <f>Tabela2[[#This Row],[SLA
Padrão]]-Tabela2[[#This Row],[SLA Atendimento]]</f>
        <v>#VALUE!</v>
      </c>
      <c r="L246" s="11"/>
      <c r="O246" s="1" t="s">
        <v>30</v>
      </c>
      <c r="P246" s="2">
        <f>Tabela2[[#This Row],[Proposta
 Inicial]]-Tabela2[[#This Row],[Proposta
 Negociada]]</f>
        <v>0</v>
      </c>
      <c r="Q246" s="4" t="e">
        <f>Tabela2[[#This Row],[Proposta
 Negociada]]/Tabela2[[#This Row],[Proposta
 Inicial]]-1</f>
        <v>#DIV/0!</v>
      </c>
      <c r="S246"/>
    </row>
    <row r="247" spans="1:19" ht="14.45">
      <c r="A247" s="9"/>
      <c r="B247" s="9"/>
      <c r="C247" s="1" t="str">
        <f t="shared" si="8"/>
        <v/>
      </c>
      <c r="I247" s="1" t="str">
        <f>IFERROR(VLOOKUP(H247,SLA_Ref!$A$1:$B$8,2,FALSE),"")</f>
        <v/>
      </c>
      <c r="J247" s="1" t="str">
        <f t="shared" ca="1" si="9"/>
        <v/>
      </c>
      <c r="K247" s="11" t="e">
        <f>Tabela2[[#This Row],[SLA
Padrão]]-Tabela2[[#This Row],[SLA Atendimento]]</f>
        <v>#VALUE!</v>
      </c>
      <c r="L247" s="11"/>
      <c r="O247" s="1" t="s">
        <v>30</v>
      </c>
      <c r="P247" s="2">
        <f>Tabela2[[#This Row],[Proposta
 Inicial]]-Tabela2[[#This Row],[Proposta
 Negociada]]</f>
        <v>0</v>
      </c>
      <c r="Q247" s="4" t="e">
        <f>Tabela2[[#This Row],[Proposta
 Negociada]]/Tabela2[[#This Row],[Proposta
 Inicial]]-1</f>
        <v>#DIV/0!</v>
      </c>
      <c r="S247"/>
    </row>
    <row r="248" spans="1:19" ht="14.45">
      <c r="A248" s="9"/>
      <c r="B248" s="9"/>
      <c r="C248" s="1" t="str">
        <f t="shared" si="8"/>
        <v/>
      </c>
      <c r="I248" s="1" t="str">
        <f>IFERROR(VLOOKUP(H248,SLA_Ref!$A$1:$B$8,2,FALSE),"")</f>
        <v/>
      </c>
      <c r="J248" s="1" t="str">
        <f t="shared" ca="1" si="9"/>
        <v/>
      </c>
      <c r="K248" s="11" t="e">
        <f>Tabela2[[#This Row],[SLA
Padrão]]-Tabela2[[#This Row],[SLA Atendimento]]</f>
        <v>#VALUE!</v>
      </c>
      <c r="L248" s="11"/>
      <c r="O248" s="1" t="s">
        <v>30</v>
      </c>
      <c r="P248" s="2">
        <f>Tabela2[[#This Row],[Proposta
 Inicial]]-Tabela2[[#This Row],[Proposta
 Negociada]]</f>
        <v>0</v>
      </c>
      <c r="Q248" s="4" t="e">
        <f>Tabela2[[#This Row],[Proposta
 Negociada]]/Tabela2[[#This Row],[Proposta
 Inicial]]-1</f>
        <v>#DIV/0!</v>
      </c>
      <c r="S248"/>
    </row>
    <row r="249" spans="1:19" ht="14.45">
      <c r="A249" s="9"/>
      <c r="B249" s="9"/>
      <c r="C249" s="1" t="str">
        <f t="shared" si="8"/>
        <v/>
      </c>
      <c r="I249" s="1" t="str">
        <f>IFERROR(VLOOKUP(H249,SLA_Ref!$A$1:$B$8,2,FALSE),"")</f>
        <v/>
      </c>
      <c r="J249" s="1" t="str">
        <f t="shared" ca="1" si="9"/>
        <v/>
      </c>
      <c r="K249" s="11" t="e">
        <f>Tabela2[[#This Row],[SLA
Padrão]]-Tabela2[[#This Row],[SLA Atendimento]]</f>
        <v>#VALUE!</v>
      </c>
      <c r="L249" s="11"/>
      <c r="O249" s="1" t="s">
        <v>30</v>
      </c>
      <c r="P249" s="2">
        <f>Tabela2[[#This Row],[Proposta
 Inicial]]-Tabela2[[#This Row],[Proposta
 Negociada]]</f>
        <v>0</v>
      </c>
      <c r="Q249" s="4" t="e">
        <f>Tabela2[[#This Row],[Proposta
 Negociada]]/Tabela2[[#This Row],[Proposta
 Inicial]]-1</f>
        <v>#DIV/0!</v>
      </c>
      <c r="S249"/>
    </row>
    <row r="250" spans="1:19" ht="14.45">
      <c r="A250" s="9"/>
      <c r="B250" s="9"/>
      <c r="C250" s="1" t="str">
        <f t="shared" si="8"/>
        <v/>
      </c>
      <c r="I250" s="1" t="str">
        <f>IFERROR(VLOOKUP(H250,SLA_Ref!$A$1:$B$8,2,FALSE),"")</f>
        <v/>
      </c>
      <c r="J250" s="1" t="str">
        <f t="shared" ca="1" si="9"/>
        <v/>
      </c>
      <c r="K250" s="11" t="e">
        <f>Tabela2[[#This Row],[SLA
Padrão]]-Tabela2[[#This Row],[SLA Atendimento]]</f>
        <v>#VALUE!</v>
      </c>
      <c r="L250" s="11"/>
      <c r="O250" s="1" t="s">
        <v>30</v>
      </c>
      <c r="P250" s="2">
        <f>Tabela2[[#This Row],[Proposta
 Inicial]]-Tabela2[[#This Row],[Proposta
 Negociada]]</f>
        <v>0</v>
      </c>
      <c r="Q250" s="4" t="e">
        <f>Tabela2[[#This Row],[Proposta
 Negociada]]/Tabela2[[#This Row],[Proposta
 Inicial]]-1</f>
        <v>#DIV/0!</v>
      </c>
      <c r="S250"/>
    </row>
    <row r="251" spans="1:19" ht="14.45">
      <c r="A251" s="9"/>
      <c r="B251" s="9"/>
      <c r="C251" s="1" t="str">
        <f t="shared" si="8"/>
        <v/>
      </c>
      <c r="I251" s="1" t="str">
        <f>IFERROR(VLOOKUP(H251,SLA_Ref!$A$1:$B$8,2,FALSE),"")</f>
        <v/>
      </c>
      <c r="J251" s="1" t="str">
        <f t="shared" ca="1" si="9"/>
        <v/>
      </c>
      <c r="K251" s="11" t="e">
        <f>Tabela2[[#This Row],[SLA
Padrão]]-Tabela2[[#This Row],[SLA Atendimento]]</f>
        <v>#VALUE!</v>
      </c>
      <c r="L251" s="11"/>
      <c r="O251" s="1" t="s">
        <v>30</v>
      </c>
      <c r="P251" s="2">
        <f>Tabela2[[#This Row],[Proposta
 Inicial]]-Tabela2[[#This Row],[Proposta
 Negociada]]</f>
        <v>0</v>
      </c>
      <c r="Q251" s="4" t="e">
        <f>Tabela2[[#This Row],[Proposta
 Negociada]]/Tabela2[[#This Row],[Proposta
 Inicial]]-1</f>
        <v>#DIV/0!</v>
      </c>
      <c r="S251"/>
    </row>
    <row r="252" spans="1:19" ht="14.45">
      <c r="A252" s="9"/>
      <c r="B252" s="9"/>
      <c r="C252" s="1" t="str">
        <f t="shared" si="8"/>
        <v/>
      </c>
      <c r="I252" s="1" t="str">
        <f>IFERROR(VLOOKUP(H252,SLA_Ref!$A$1:$B$8,2,FALSE),"")</f>
        <v/>
      </c>
      <c r="J252" s="1" t="str">
        <f t="shared" ca="1" si="9"/>
        <v/>
      </c>
      <c r="K252" s="11" t="e">
        <f>Tabela2[[#This Row],[SLA
Padrão]]-Tabela2[[#This Row],[SLA Atendimento]]</f>
        <v>#VALUE!</v>
      </c>
      <c r="L252" s="11"/>
      <c r="O252" s="1" t="s">
        <v>30</v>
      </c>
      <c r="P252" s="2">
        <f>Tabela2[[#This Row],[Proposta
 Inicial]]-Tabela2[[#This Row],[Proposta
 Negociada]]</f>
        <v>0</v>
      </c>
      <c r="Q252" s="4" t="e">
        <f>Tabela2[[#This Row],[Proposta
 Negociada]]/Tabela2[[#This Row],[Proposta
 Inicial]]-1</f>
        <v>#DIV/0!</v>
      </c>
      <c r="S252"/>
    </row>
    <row r="253" spans="1:19" ht="14.45">
      <c r="A253" s="9"/>
      <c r="B253" s="9"/>
      <c r="C253" s="1" t="str">
        <f t="shared" si="8"/>
        <v/>
      </c>
      <c r="I253" s="1" t="str">
        <f>IFERROR(VLOOKUP(H253,SLA_Ref!$A$1:$B$8,2,FALSE),"")</f>
        <v/>
      </c>
      <c r="J253" s="1" t="str">
        <f t="shared" ca="1" si="9"/>
        <v/>
      </c>
      <c r="K253" s="11" t="e">
        <f>Tabela2[[#This Row],[SLA
Padrão]]-Tabela2[[#This Row],[SLA Atendimento]]</f>
        <v>#VALUE!</v>
      </c>
      <c r="L253" s="11"/>
      <c r="O253" s="1" t="s">
        <v>30</v>
      </c>
      <c r="P253" s="2">
        <f>Tabela2[[#This Row],[Proposta
 Inicial]]-Tabela2[[#This Row],[Proposta
 Negociada]]</f>
        <v>0</v>
      </c>
      <c r="Q253" s="4" t="e">
        <f>Tabela2[[#This Row],[Proposta
 Negociada]]/Tabela2[[#This Row],[Proposta
 Inicial]]-1</f>
        <v>#DIV/0!</v>
      </c>
      <c r="S253"/>
    </row>
    <row r="254" spans="1:19" ht="14.45">
      <c r="A254" s="9"/>
      <c r="B254" s="9"/>
      <c r="C254" s="1" t="str">
        <f t="shared" si="8"/>
        <v/>
      </c>
      <c r="I254" s="1" t="str">
        <f>IFERROR(VLOOKUP(H254,SLA_Ref!$A$1:$B$8,2,FALSE),"")</f>
        <v/>
      </c>
      <c r="J254" s="1" t="str">
        <f t="shared" ca="1" si="9"/>
        <v/>
      </c>
      <c r="K254" s="11" t="e">
        <f>Tabela2[[#This Row],[SLA
Padrão]]-Tabela2[[#This Row],[SLA Atendimento]]</f>
        <v>#VALUE!</v>
      </c>
      <c r="L254" s="11"/>
      <c r="O254" s="1" t="s">
        <v>30</v>
      </c>
      <c r="P254" s="2">
        <f>Tabela2[[#This Row],[Proposta
 Inicial]]-Tabela2[[#This Row],[Proposta
 Negociada]]</f>
        <v>0</v>
      </c>
      <c r="Q254" s="4" t="e">
        <f>Tabela2[[#This Row],[Proposta
 Negociada]]/Tabela2[[#This Row],[Proposta
 Inicial]]-1</f>
        <v>#DIV/0!</v>
      </c>
      <c r="S254"/>
    </row>
    <row r="255" spans="1:19" ht="14.45">
      <c r="A255" s="9"/>
      <c r="B255" s="9"/>
      <c r="C255" s="1" t="str">
        <f t="shared" si="8"/>
        <v/>
      </c>
      <c r="I255" s="1" t="str">
        <f>IFERROR(VLOOKUP(H255,SLA_Ref!$A$1:$B$8,2,FALSE),"")</f>
        <v/>
      </c>
      <c r="J255" s="1" t="str">
        <f t="shared" ca="1" si="9"/>
        <v/>
      </c>
      <c r="K255" s="11" t="e">
        <f>Tabela2[[#This Row],[SLA
Padrão]]-Tabela2[[#This Row],[SLA Atendimento]]</f>
        <v>#VALUE!</v>
      </c>
      <c r="L255" s="11"/>
      <c r="O255" s="1" t="s">
        <v>30</v>
      </c>
      <c r="P255" s="2">
        <f>Tabela2[[#This Row],[Proposta
 Inicial]]-Tabela2[[#This Row],[Proposta
 Negociada]]</f>
        <v>0</v>
      </c>
      <c r="Q255" s="4" t="e">
        <f>Tabela2[[#This Row],[Proposta
 Negociada]]/Tabela2[[#This Row],[Proposta
 Inicial]]-1</f>
        <v>#DIV/0!</v>
      </c>
      <c r="S255"/>
    </row>
    <row r="256" spans="1:19" ht="14.45">
      <c r="A256" s="9"/>
      <c r="B256" s="9"/>
      <c r="C256" s="1" t="str">
        <f t="shared" si="8"/>
        <v/>
      </c>
      <c r="I256" s="1" t="str">
        <f>IFERROR(VLOOKUP(H256,SLA_Ref!$A$1:$B$8,2,FALSE),"")</f>
        <v/>
      </c>
      <c r="J256" s="1" t="str">
        <f t="shared" ca="1" si="9"/>
        <v/>
      </c>
      <c r="K256" s="11" t="e">
        <f>Tabela2[[#This Row],[SLA
Padrão]]-Tabela2[[#This Row],[SLA Atendimento]]</f>
        <v>#VALUE!</v>
      </c>
      <c r="L256" s="11"/>
      <c r="O256" s="1" t="s">
        <v>30</v>
      </c>
      <c r="P256" s="2">
        <f>Tabela2[[#This Row],[Proposta
 Inicial]]-Tabela2[[#This Row],[Proposta
 Negociada]]</f>
        <v>0</v>
      </c>
      <c r="Q256" s="4" t="e">
        <f>Tabela2[[#This Row],[Proposta
 Negociada]]/Tabela2[[#This Row],[Proposta
 Inicial]]-1</f>
        <v>#DIV/0!</v>
      </c>
      <c r="S256"/>
    </row>
    <row r="257" spans="1:19" ht="14.45">
      <c r="A257" s="9"/>
      <c r="B257" s="9"/>
      <c r="C257" s="1" t="str">
        <f t="shared" si="8"/>
        <v/>
      </c>
      <c r="I257" s="1" t="str">
        <f>IFERROR(VLOOKUP(H257,SLA_Ref!$A$1:$B$8,2,FALSE),"")</f>
        <v/>
      </c>
      <c r="J257" s="1" t="str">
        <f t="shared" ca="1" si="9"/>
        <v/>
      </c>
      <c r="K257" s="11" t="e">
        <f>Tabela2[[#This Row],[SLA
Padrão]]-Tabela2[[#This Row],[SLA Atendimento]]</f>
        <v>#VALUE!</v>
      </c>
      <c r="L257" s="11"/>
      <c r="O257" s="1" t="s">
        <v>30</v>
      </c>
      <c r="P257" s="2">
        <f>Tabela2[[#This Row],[Proposta
 Inicial]]-Tabela2[[#This Row],[Proposta
 Negociada]]</f>
        <v>0</v>
      </c>
      <c r="Q257" s="4" t="e">
        <f>Tabela2[[#This Row],[Proposta
 Negociada]]/Tabela2[[#This Row],[Proposta
 Inicial]]-1</f>
        <v>#DIV/0!</v>
      </c>
      <c r="S257"/>
    </row>
    <row r="258" spans="1:19" ht="14.45">
      <c r="A258" s="9"/>
      <c r="B258" s="9"/>
      <c r="C258" s="1" t="str">
        <f t="shared" si="8"/>
        <v/>
      </c>
      <c r="I258" s="1" t="str">
        <f>IFERROR(VLOOKUP(H258,SLA_Ref!$A$1:$B$8,2,FALSE),"")</f>
        <v/>
      </c>
      <c r="J258" s="1" t="str">
        <f t="shared" ca="1" si="9"/>
        <v/>
      </c>
      <c r="K258" s="11" t="e">
        <f>Tabela2[[#This Row],[SLA
Padrão]]-Tabela2[[#This Row],[SLA Atendimento]]</f>
        <v>#VALUE!</v>
      </c>
      <c r="L258" s="11"/>
      <c r="O258" s="1" t="s">
        <v>30</v>
      </c>
      <c r="P258" s="2">
        <f>Tabela2[[#This Row],[Proposta
 Inicial]]-Tabela2[[#This Row],[Proposta
 Negociada]]</f>
        <v>0</v>
      </c>
      <c r="Q258" s="4" t="e">
        <f>Tabela2[[#This Row],[Proposta
 Negociada]]/Tabela2[[#This Row],[Proposta
 Inicial]]-1</f>
        <v>#DIV/0!</v>
      </c>
      <c r="S258"/>
    </row>
    <row r="259" spans="1:19" ht="14.45">
      <c r="A259" s="9"/>
      <c r="B259" s="9"/>
      <c r="C259" s="1" t="str">
        <f t="shared" ref="C259:C322" si="10">IF(OR(A259="",B259=""),"",B259-A259)</f>
        <v/>
      </c>
      <c r="I259" s="1" t="str">
        <f>IFERROR(VLOOKUP(H259,SLA_Ref!$A$1:$B$8,2,FALSE),"")</f>
        <v/>
      </c>
      <c r="J259" s="1" t="str">
        <f t="shared" ca="1" si="9"/>
        <v/>
      </c>
      <c r="K259" s="11" t="e">
        <f>Tabela2[[#This Row],[SLA
Padrão]]-Tabela2[[#This Row],[SLA Atendimento]]</f>
        <v>#VALUE!</v>
      </c>
      <c r="L259" s="11"/>
      <c r="O259" s="1" t="s">
        <v>30</v>
      </c>
      <c r="P259" s="2">
        <f>Tabela2[[#This Row],[Proposta
 Inicial]]-Tabela2[[#This Row],[Proposta
 Negociada]]</f>
        <v>0</v>
      </c>
      <c r="Q259" s="4" t="e">
        <f>Tabela2[[#This Row],[Proposta
 Negociada]]/Tabela2[[#This Row],[Proposta
 Inicial]]-1</f>
        <v>#DIV/0!</v>
      </c>
      <c r="S259"/>
    </row>
    <row r="260" spans="1:19" ht="14.45">
      <c r="A260" s="9"/>
      <c r="B260" s="9"/>
      <c r="C260" s="1" t="str">
        <f t="shared" si="10"/>
        <v/>
      </c>
      <c r="I260" s="1" t="str">
        <f>IFERROR(VLOOKUP(H260,SLA_Ref!$A$1:$B$8,2,FALSE),"")</f>
        <v/>
      </c>
      <c r="J260" s="1" t="str">
        <f t="shared" ca="1" si="9"/>
        <v/>
      </c>
      <c r="K260" s="11" t="e">
        <f>Tabela2[[#This Row],[SLA
Padrão]]-Tabela2[[#This Row],[SLA Atendimento]]</f>
        <v>#VALUE!</v>
      </c>
      <c r="L260" s="11"/>
      <c r="O260" s="1" t="s">
        <v>30</v>
      </c>
      <c r="P260" s="2">
        <f>Tabela2[[#This Row],[Proposta
 Inicial]]-Tabela2[[#This Row],[Proposta
 Negociada]]</f>
        <v>0</v>
      </c>
      <c r="Q260" s="4" t="e">
        <f>Tabela2[[#This Row],[Proposta
 Negociada]]/Tabela2[[#This Row],[Proposta
 Inicial]]-1</f>
        <v>#DIV/0!</v>
      </c>
      <c r="S260"/>
    </row>
    <row r="261" spans="1:19" ht="14.45">
      <c r="A261" s="9"/>
      <c r="B261" s="9"/>
      <c r="C261" s="1" t="str">
        <f t="shared" si="10"/>
        <v/>
      </c>
      <c r="I261" s="1" t="str">
        <f>IFERROR(VLOOKUP(H261,SLA_Ref!$A$1:$B$8,2,FALSE),"")</f>
        <v/>
      </c>
      <c r="J261" s="1" t="str">
        <f t="shared" ca="1" si="9"/>
        <v/>
      </c>
      <c r="K261" s="11" t="e">
        <f>Tabela2[[#This Row],[SLA
Padrão]]-Tabela2[[#This Row],[SLA Atendimento]]</f>
        <v>#VALUE!</v>
      </c>
      <c r="L261" s="11"/>
      <c r="O261" s="1" t="s">
        <v>30</v>
      </c>
      <c r="P261" s="2">
        <f>Tabela2[[#This Row],[Proposta
 Inicial]]-Tabela2[[#This Row],[Proposta
 Negociada]]</f>
        <v>0</v>
      </c>
      <c r="Q261" s="4" t="e">
        <f>Tabela2[[#This Row],[Proposta
 Negociada]]/Tabela2[[#This Row],[Proposta
 Inicial]]-1</f>
        <v>#DIV/0!</v>
      </c>
      <c r="S261"/>
    </row>
    <row r="262" spans="1:19" ht="14.45">
      <c r="A262" s="9"/>
      <c r="B262" s="9"/>
      <c r="C262" s="1" t="str">
        <f t="shared" si="10"/>
        <v/>
      </c>
      <c r="I262" s="1" t="str">
        <f>IFERROR(VLOOKUP(H262,SLA_Ref!$A$1:$B$8,2,FALSE),"")</f>
        <v/>
      </c>
      <c r="J262" s="1" t="str">
        <f t="shared" ca="1" si="9"/>
        <v/>
      </c>
      <c r="K262" s="11" t="e">
        <f>Tabela2[[#This Row],[SLA
Padrão]]-Tabela2[[#This Row],[SLA Atendimento]]</f>
        <v>#VALUE!</v>
      </c>
      <c r="L262" s="11"/>
      <c r="O262" s="1" t="s">
        <v>30</v>
      </c>
      <c r="P262" s="2">
        <f>Tabela2[[#This Row],[Proposta
 Inicial]]-Tabela2[[#This Row],[Proposta
 Negociada]]</f>
        <v>0</v>
      </c>
      <c r="Q262" s="4" t="e">
        <f>Tabela2[[#This Row],[Proposta
 Negociada]]/Tabela2[[#This Row],[Proposta
 Inicial]]-1</f>
        <v>#DIV/0!</v>
      </c>
      <c r="S262"/>
    </row>
    <row r="263" spans="1:19" ht="14.45">
      <c r="A263" s="9"/>
      <c r="B263" s="9"/>
      <c r="C263" s="1" t="str">
        <f t="shared" si="10"/>
        <v/>
      </c>
      <c r="I263" s="1" t="str">
        <f>IFERROR(VLOOKUP(H263,SLA_Ref!$A$1:$B$8,2,FALSE),"")</f>
        <v/>
      </c>
      <c r="J263" s="1" t="str">
        <f t="shared" ca="1" si="9"/>
        <v/>
      </c>
      <c r="K263" s="11" t="e">
        <f>Tabela2[[#This Row],[SLA
Padrão]]-Tabela2[[#This Row],[SLA Atendimento]]</f>
        <v>#VALUE!</v>
      </c>
      <c r="L263" s="11"/>
      <c r="O263" s="1" t="s">
        <v>30</v>
      </c>
      <c r="P263" s="2">
        <f>Tabela2[[#This Row],[Proposta
 Inicial]]-Tabela2[[#This Row],[Proposta
 Negociada]]</f>
        <v>0</v>
      </c>
      <c r="Q263" s="4" t="e">
        <f>Tabela2[[#This Row],[Proposta
 Negociada]]/Tabela2[[#This Row],[Proposta
 Inicial]]-1</f>
        <v>#DIV/0!</v>
      </c>
      <c r="S263"/>
    </row>
    <row r="264" spans="1:19" ht="14.45">
      <c r="A264" s="9"/>
      <c r="B264" s="9"/>
      <c r="C264" s="1" t="str">
        <f t="shared" si="10"/>
        <v/>
      </c>
      <c r="I264" s="1" t="str">
        <f>IFERROR(VLOOKUP(H264,SLA_Ref!$A$1:$B$8,2,FALSE),"")</f>
        <v/>
      </c>
      <c r="J264" s="1" t="str">
        <f t="shared" ca="1" si="9"/>
        <v/>
      </c>
      <c r="K264" s="11" t="e">
        <f>Tabela2[[#This Row],[SLA
Padrão]]-Tabela2[[#This Row],[SLA Atendimento]]</f>
        <v>#VALUE!</v>
      </c>
      <c r="L264" s="11"/>
      <c r="O264" s="1" t="s">
        <v>30</v>
      </c>
      <c r="P264" s="2">
        <f>Tabela2[[#This Row],[Proposta
 Inicial]]-Tabela2[[#This Row],[Proposta
 Negociada]]</f>
        <v>0</v>
      </c>
      <c r="Q264" s="4" t="e">
        <f>Tabela2[[#This Row],[Proposta
 Negociada]]/Tabela2[[#This Row],[Proposta
 Inicial]]-1</f>
        <v>#DIV/0!</v>
      </c>
      <c r="S264"/>
    </row>
    <row r="265" spans="1:19" ht="14.45">
      <c r="A265" s="9"/>
      <c r="B265" s="9"/>
      <c r="C265" s="1" t="str">
        <f t="shared" si="10"/>
        <v/>
      </c>
      <c r="I265" s="1" t="str">
        <f>IFERROR(VLOOKUP(H265,SLA_Ref!$A$1:$B$8,2,FALSE),"")</f>
        <v/>
      </c>
      <c r="J265" s="1" t="str">
        <f t="shared" ca="1" si="9"/>
        <v/>
      </c>
      <c r="K265" s="11" t="e">
        <f>Tabela2[[#This Row],[SLA
Padrão]]-Tabela2[[#This Row],[SLA Atendimento]]</f>
        <v>#VALUE!</v>
      </c>
      <c r="L265" s="11"/>
      <c r="O265" s="1" t="s">
        <v>30</v>
      </c>
      <c r="P265" s="2">
        <f>Tabela2[[#This Row],[Proposta
 Inicial]]-Tabela2[[#This Row],[Proposta
 Negociada]]</f>
        <v>0</v>
      </c>
      <c r="Q265" s="4" t="e">
        <f>Tabela2[[#This Row],[Proposta
 Negociada]]/Tabela2[[#This Row],[Proposta
 Inicial]]-1</f>
        <v>#DIV/0!</v>
      </c>
      <c r="S265"/>
    </row>
    <row r="266" spans="1:19" ht="14.45">
      <c r="A266" s="9"/>
      <c r="B266" s="9"/>
      <c r="C266" s="1" t="str">
        <f t="shared" si="10"/>
        <v/>
      </c>
      <c r="I266" s="1" t="str">
        <f>IFERROR(VLOOKUP(H266,SLA_Ref!$A$1:$B$8,2,FALSE),"")</f>
        <v/>
      </c>
      <c r="J266" s="1" t="str">
        <f t="shared" ca="1" si="9"/>
        <v/>
      </c>
      <c r="K266" s="11" t="e">
        <f>Tabela2[[#This Row],[SLA
Padrão]]-Tabela2[[#This Row],[SLA Atendimento]]</f>
        <v>#VALUE!</v>
      </c>
      <c r="L266" s="11"/>
      <c r="O266" s="1" t="s">
        <v>30</v>
      </c>
      <c r="P266" s="2">
        <f>Tabela2[[#This Row],[Proposta
 Inicial]]-Tabela2[[#This Row],[Proposta
 Negociada]]</f>
        <v>0</v>
      </c>
      <c r="Q266" s="4" t="e">
        <f>Tabela2[[#This Row],[Proposta
 Negociada]]/Tabela2[[#This Row],[Proposta
 Inicial]]-1</f>
        <v>#DIV/0!</v>
      </c>
      <c r="S266"/>
    </row>
    <row r="267" spans="1:19" ht="14.45">
      <c r="A267" s="9"/>
      <c r="B267" s="9"/>
      <c r="C267" s="1" t="str">
        <f t="shared" si="10"/>
        <v/>
      </c>
      <c r="I267" s="1" t="str">
        <f>IFERROR(VLOOKUP(H267,SLA_Ref!$A$1:$B$8,2,FALSE),"")</f>
        <v/>
      </c>
      <c r="J267" s="1" t="str">
        <f t="shared" ca="1" si="9"/>
        <v/>
      </c>
      <c r="K267" s="11" t="e">
        <f>Tabela2[[#This Row],[SLA
Padrão]]-Tabela2[[#This Row],[SLA Atendimento]]</f>
        <v>#VALUE!</v>
      </c>
      <c r="L267" s="11"/>
      <c r="O267" s="1" t="s">
        <v>30</v>
      </c>
      <c r="P267" s="2">
        <f>Tabela2[[#This Row],[Proposta
 Inicial]]-Tabela2[[#This Row],[Proposta
 Negociada]]</f>
        <v>0</v>
      </c>
      <c r="Q267" s="4" t="e">
        <f>Tabela2[[#This Row],[Proposta
 Negociada]]/Tabela2[[#This Row],[Proposta
 Inicial]]-1</f>
        <v>#DIV/0!</v>
      </c>
      <c r="S267"/>
    </row>
    <row r="268" spans="1:19" ht="14.45">
      <c r="A268" s="9"/>
      <c r="B268" s="9"/>
      <c r="C268" s="1" t="str">
        <f t="shared" si="10"/>
        <v/>
      </c>
      <c r="I268" s="1" t="str">
        <f>IFERROR(VLOOKUP(H268,SLA_Ref!$A$1:$B$8,2,FALSE),"")</f>
        <v/>
      </c>
      <c r="J268" s="1" t="str">
        <f t="shared" ca="1" si="9"/>
        <v/>
      </c>
      <c r="K268" s="11" t="e">
        <f>Tabela2[[#This Row],[SLA
Padrão]]-Tabela2[[#This Row],[SLA Atendimento]]</f>
        <v>#VALUE!</v>
      </c>
      <c r="L268" s="11"/>
      <c r="O268" s="1" t="s">
        <v>30</v>
      </c>
      <c r="P268" s="2">
        <f>Tabela2[[#This Row],[Proposta
 Inicial]]-Tabela2[[#This Row],[Proposta
 Negociada]]</f>
        <v>0</v>
      </c>
      <c r="Q268" s="4" t="e">
        <f>Tabela2[[#This Row],[Proposta
 Negociada]]/Tabela2[[#This Row],[Proposta
 Inicial]]-1</f>
        <v>#DIV/0!</v>
      </c>
      <c r="S268"/>
    </row>
    <row r="269" spans="1:19" ht="14.45">
      <c r="A269" s="9"/>
      <c r="B269" s="9"/>
      <c r="C269" s="1" t="str">
        <f t="shared" si="10"/>
        <v/>
      </c>
      <c r="I269" s="1" t="str">
        <f>IFERROR(VLOOKUP(H269,SLA_Ref!$A$1:$B$8,2,FALSE),"")</f>
        <v/>
      </c>
      <c r="J269" s="1" t="str">
        <f t="shared" ca="1" si="9"/>
        <v/>
      </c>
      <c r="K269" s="11" t="e">
        <f>Tabela2[[#This Row],[SLA
Padrão]]-Tabela2[[#This Row],[SLA Atendimento]]</f>
        <v>#VALUE!</v>
      </c>
      <c r="L269" s="11"/>
      <c r="O269" s="1" t="s">
        <v>30</v>
      </c>
      <c r="P269" s="2">
        <f>Tabela2[[#This Row],[Proposta
 Inicial]]-Tabela2[[#This Row],[Proposta
 Negociada]]</f>
        <v>0</v>
      </c>
      <c r="Q269" s="4" t="e">
        <f>Tabela2[[#This Row],[Proposta
 Negociada]]/Tabela2[[#This Row],[Proposta
 Inicial]]-1</f>
        <v>#DIV/0!</v>
      </c>
      <c r="S269"/>
    </row>
    <row r="270" spans="1:19" ht="14.45">
      <c r="A270" s="9"/>
      <c r="B270" s="9"/>
      <c r="C270" s="1" t="str">
        <f t="shared" si="10"/>
        <v/>
      </c>
      <c r="I270" s="1" t="str">
        <f>IFERROR(VLOOKUP(H270,SLA_Ref!$A$1:$B$8,2,FALSE),"")</f>
        <v/>
      </c>
      <c r="J270" s="1" t="str">
        <f t="shared" ca="1" si="9"/>
        <v/>
      </c>
      <c r="K270" s="11" t="e">
        <f>Tabela2[[#This Row],[SLA
Padrão]]-Tabela2[[#This Row],[SLA Atendimento]]</f>
        <v>#VALUE!</v>
      </c>
      <c r="L270" s="11"/>
      <c r="O270" s="1" t="s">
        <v>30</v>
      </c>
      <c r="P270" s="2">
        <f>Tabela2[[#This Row],[Proposta
 Inicial]]-Tabela2[[#This Row],[Proposta
 Negociada]]</f>
        <v>0</v>
      </c>
      <c r="Q270" s="4" t="e">
        <f>Tabela2[[#This Row],[Proposta
 Negociada]]/Tabela2[[#This Row],[Proposta
 Inicial]]-1</f>
        <v>#DIV/0!</v>
      </c>
      <c r="S270"/>
    </row>
    <row r="271" spans="1:19" ht="14.45">
      <c r="A271" s="9"/>
      <c r="B271" s="9"/>
      <c r="C271" s="1" t="str">
        <f t="shared" si="10"/>
        <v/>
      </c>
      <c r="I271" s="1" t="str">
        <f>IFERROR(VLOOKUP(H271,SLA_Ref!$A$1:$B$8,2,FALSE),"")</f>
        <v/>
      </c>
      <c r="J271" s="1" t="str">
        <f t="shared" ca="1" si="9"/>
        <v/>
      </c>
      <c r="K271" s="11" t="e">
        <f>Tabela2[[#This Row],[SLA
Padrão]]-Tabela2[[#This Row],[SLA Atendimento]]</f>
        <v>#VALUE!</v>
      </c>
      <c r="L271" s="11"/>
      <c r="O271" s="1" t="s">
        <v>30</v>
      </c>
      <c r="P271" s="2">
        <f>Tabela2[[#This Row],[Proposta
 Inicial]]-Tabela2[[#This Row],[Proposta
 Negociada]]</f>
        <v>0</v>
      </c>
      <c r="Q271" s="4" t="e">
        <f>Tabela2[[#This Row],[Proposta
 Negociada]]/Tabela2[[#This Row],[Proposta
 Inicial]]-1</f>
        <v>#DIV/0!</v>
      </c>
      <c r="S271"/>
    </row>
    <row r="272" spans="1:19" ht="14.45">
      <c r="A272" s="9"/>
      <c r="B272" s="9"/>
      <c r="C272" s="1" t="str">
        <f t="shared" si="10"/>
        <v/>
      </c>
      <c r="I272" s="1" t="str">
        <f>IFERROR(VLOOKUP(H272,SLA_Ref!$A$1:$B$8,2,FALSE),"")</f>
        <v/>
      </c>
      <c r="J272" s="1" t="str">
        <f t="shared" ca="1" si="9"/>
        <v/>
      </c>
      <c r="K272" s="11" t="e">
        <f>Tabela2[[#This Row],[SLA
Padrão]]-Tabela2[[#This Row],[SLA Atendimento]]</f>
        <v>#VALUE!</v>
      </c>
      <c r="L272" s="11"/>
      <c r="O272" s="1" t="s">
        <v>30</v>
      </c>
      <c r="P272" s="2">
        <f>Tabela2[[#This Row],[Proposta
 Inicial]]-Tabela2[[#This Row],[Proposta
 Negociada]]</f>
        <v>0</v>
      </c>
      <c r="Q272" s="4" t="e">
        <f>Tabela2[[#This Row],[Proposta
 Negociada]]/Tabela2[[#This Row],[Proposta
 Inicial]]-1</f>
        <v>#DIV/0!</v>
      </c>
      <c r="S272"/>
    </row>
    <row r="273" spans="1:19" ht="14.45">
      <c r="A273" s="9"/>
      <c r="B273" s="9"/>
      <c r="C273" s="1" t="str">
        <f t="shared" si="10"/>
        <v/>
      </c>
      <c r="I273" s="1" t="str">
        <f>IFERROR(VLOOKUP(H273,SLA_Ref!$A$1:$B$8,2,FALSE),"")</f>
        <v/>
      </c>
      <c r="J273" s="1" t="str">
        <f t="shared" ca="1" si="9"/>
        <v/>
      </c>
      <c r="K273" s="11" t="e">
        <f>Tabela2[[#This Row],[SLA
Padrão]]-Tabela2[[#This Row],[SLA Atendimento]]</f>
        <v>#VALUE!</v>
      </c>
      <c r="L273" s="11"/>
      <c r="O273" s="1" t="s">
        <v>30</v>
      </c>
      <c r="P273" s="2">
        <f>Tabela2[[#This Row],[Proposta
 Inicial]]-Tabela2[[#This Row],[Proposta
 Negociada]]</f>
        <v>0</v>
      </c>
      <c r="Q273" s="4" t="e">
        <f>Tabela2[[#This Row],[Proposta
 Negociada]]/Tabela2[[#This Row],[Proposta
 Inicial]]-1</f>
        <v>#DIV/0!</v>
      </c>
      <c r="S273"/>
    </row>
    <row r="274" spans="1:19" ht="14.45">
      <c r="A274" s="9"/>
      <c r="B274" s="9"/>
      <c r="C274" s="1" t="str">
        <f t="shared" si="10"/>
        <v/>
      </c>
      <c r="I274" s="1" t="str">
        <f>IFERROR(VLOOKUP(H274,SLA_Ref!$A$1:$B$8,2,FALSE),"")</f>
        <v/>
      </c>
      <c r="J274" s="1" t="str">
        <f t="shared" ca="1" si="9"/>
        <v/>
      </c>
      <c r="K274" s="11" t="e">
        <f>Tabela2[[#This Row],[SLA
Padrão]]-Tabela2[[#This Row],[SLA Atendimento]]</f>
        <v>#VALUE!</v>
      </c>
      <c r="L274" s="11"/>
      <c r="O274" s="1" t="s">
        <v>30</v>
      </c>
      <c r="P274" s="2">
        <f>Tabela2[[#This Row],[Proposta
 Inicial]]-Tabela2[[#This Row],[Proposta
 Negociada]]</f>
        <v>0</v>
      </c>
      <c r="Q274" s="4" t="e">
        <f>Tabela2[[#This Row],[Proposta
 Negociada]]/Tabela2[[#This Row],[Proposta
 Inicial]]-1</f>
        <v>#DIV/0!</v>
      </c>
      <c r="S274"/>
    </row>
    <row r="275" spans="1:19" ht="14.45">
      <c r="A275" s="9"/>
      <c r="B275" s="9"/>
      <c r="C275" s="1" t="str">
        <f t="shared" si="10"/>
        <v/>
      </c>
      <c r="I275" s="1" t="str">
        <f>IFERROR(VLOOKUP(H275,SLA_Ref!$A$1:$B$8,2,FALSE),"")</f>
        <v/>
      </c>
      <c r="J275" s="1" t="str">
        <f t="shared" ca="1" si="9"/>
        <v/>
      </c>
      <c r="K275" s="11" t="e">
        <f>Tabela2[[#This Row],[SLA
Padrão]]-Tabela2[[#This Row],[SLA Atendimento]]</f>
        <v>#VALUE!</v>
      </c>
      <c r="L275" s="11"/>
      <c r="O275" s="1" t="s">
        <v>30</v>
      </c>
      <c r="P275" s="2">
        <f>Tabela2[[#This Row],[Proposta
 Inicial]]-Tabela2[[#This Row],[Proposta
 Negociada]]</f>
        <v>0</v>
      </c>
      <c r="Q275" s="4" t="e">
        <f>Tabela2[[#This Row],[Proposta
 Negociada]]/Tabela2[[#This Row],[Proposta
 Inicial]]-1</f>
        <v>#DIV/0!</v>
      </c>
      <c r="S275"/>
    </row>
    <row r="276" spans="1:19" ht="14.45">
      <c r="A276" s="9"/>
      <c r="B276" s="9"/>
      <c r="C276" s="1" t="str">
        <f t="shared" si="10"/>
        <v/>
      </c>
      <c r="I276" s="1" t="str">
        <f>IFERROR(VLOOKUP(H276,SLA_Ref!$A$1:$B$8,2,FALSE),"")</f>
        <v/>
      </c>
      <c r="J276" s="1" t="str">
        <f t="shared" ca="1" si="9"/>
        <v/>
      </c>
      <c r="K276" s="11" t="e">
        <f>Tabela2[[#This Row],[SLA
Padrão]]-Tabela2[[#This Row],[SLA Atendimento]]</f>
        <v>#VALUE!</v>
      </c>
      <c r="L276" s="11"/>
      <c r="O276" s="1" t="s">
        <v>30</v>
      </c>
      <c r="P276" s="2">
        <f>Tabela2[[#This Row],[Proposta
 Inicial]]-Tabela2[[#This Row],[Proposta
 Negociada]]</f>
        <v>0</v>
      </c>
      <c r="Q276" s="4" t="e">
        <f>Tabela2[[#This Row],[Proposta
 Negociada]]/Tabela2[[#This Row],[Proposta
 Inicial]]-1</f>
        <v>#DIV/0!</v>
      </c>
      <c r="S276"/>
    </row>
    <row r="277" spans="1:19" ht="14.45">
      <c r="A277" s="9"/>
      <c r="B277" s="9"/>
      <c r="C277" s="1" t="str">
        <f t="shared" si="10"/>
        <v/>
      </c>
      <c r="I277" s="1" t="str">
        <f>IFERROR(VLOOKUP(H277,SLA_Ref!$A$1:$B$8,2,FALSE),"")</f>
        <v/>
      </c>
      <c r="J277" s="1" t="str">
        <f t="shared" ca="1" si="9"/>
        <v/>
      </c>
      <c r="K277" s="11" t="e">
        <f>Tabela2[[#This Row],[SLA
Padrão]]-Tabela2[[#This Row],[SLA Atendimento]]</f>
        <v>#VALUE!</v>
      </c>
      <c r="L277" s="11"/>
      <c r="O277" s="1" t="s">
        <v>30</v>
      </c>
      <c r="P277" s="2">
        <f>Tabela2[[#This Row],[Proposta
 Inicial]]-Tabela2[[#This Row],[Proposta
 Negociada]]</f>
        <v>0</v>
      </c>
      <c r="Q277" s="4" t="e">
        <f>Tabela2[[#This Row],[Proposta
 Negociada]]/Tabela2[[#This Row],[Proposta
 Inicial]]-1</f>
        <v>#DIV/0!</v>
      </c>
      <c r="S277"/>
    </row>
    <row r="278" spans="1:19" ht="14.45">
      <c r="A278" s="9"/>
      <c r="B278" s="9"/>
      <c r="C278" s="1" t="str">
        <f t="shared" si="10"/>
        <v/>
      </c>
      <c r="I278" s="1" t="str">
        <f>IFERROR(VLOOKUP(H278,SLA_Ref!$A$1:$B$8,2,FALSE),"")</f>
        <v/>
      </c>
      <c r="J278" s="1" t="str">
        <f t="shared" ca="1" si="9"/>
        <v/>
      </c>
      <c r="K278" s="11" t="e">
        <f>Tabela2[[#This Row],[SLA
Padrão]]-Tabela2[[#This Row],[SLA Atendimento]]</f>
        <v>#VALUE!</v>
      </c>
      <c r="L278" s="11"/>
      <c r="O278" s="1" t="s">
        <v>30</v>
      </c>
      <c r="P278" s="2">
        <f>Tabela2[[#This Row],[Proposta
 Inicial]]-Tabela2[[#This Row],[Proposta
 Negociada]]</f>
        <v>0</v>
      </c>
      <c r="Q278" s="4" t="e">
        <f>Tabela2[[#This Row],[Proposta
 Negociada]]/Tabela2[[#This Row],[Proposta
 Inicial]]-1</f>
        <v>#DIV/0!</v>
      </c>
      <c r="S278"/>
    </row>
    <row r="279" spans="1:19" ht="14.45">
      <c r="A279" s="9"/>
      <c r="B279" s="9"/>
      <c r="C279" s="1" t="str">
        <f t="shared" si="10"/>
        <v/>
      </c>
      <c r="I279" s="1" t="str">
        <f>IFERROR(VLOOKUP(H279,SLA_Ref!$A$1:$B$8,2,FALSE),"")</f>
        <v/>
      </c>
      <c r="J279" s="1" t="str">
        <f t="shared" ca="1" si="9"/>
        <v/>
      </c>
      <c r="K279" s="11" t="e">
        <f>Tabela2[[#This Row],[SLA
Padrão]]-Tabela2[[#This Row],[SLA Atendimento]]</f>
        <v>#VALUE!</v>
      </c>
      <c r="L279" s="11"/>
      <c r="O279" s="1" t="s">
        <v>30</v>
      </c>
      <c r="P279" s="2">
        <f>Tabela2[[#This Row],[Proposta
 Inicial]]-Tabela2[[#This Row],[Proposta
 Negociada]]</f>
        <v>0</v>
      </c>
      <c r="Q279" s="4" t="e">
        <f>Tabela2[[#This Row],[Proposta
 Negociada]]/Tabela2[[#This Row],[Proposta
 Inicial]]-1</f>
        <v>#DIV/0!</v>
      </c>
      <c r="S279"/>
    </row>
    <row r="280" spans="1:19" ht="14.45">
      <c r="A280" s="9"/>
      <c r="B280" s="9"/>
      <c r="C280" s="1" t="str">
        <f t="shared" si="10"/>
        <v/>
      </c>
      <c r="I280" s="1" t="str">
        <f>IFERROR(VLOOKUP(H280,SLA_Ref!$A$1:$B$8,2,FALSE),"")</f>
        <v/>
      </c>
      <c r="J280" s="1" t="str">
        <f t="shared" ca="1" si="9"/>
        <v/>
      </c>
      <c r="K280" s="11" t="e">
        <f>Tabela2[[#This Row],[SLA
Padrão]]-Tabela2[[#This Row],[SLA Atendimento]]</f>
        <v>#VALUE!</v>
      </c>
      <c r="L280" s="11"/>
      <c r="O280" s="1" t="s">
        <v>30</v>
      </c>
      <c r="P280" s="2">
        <f>Tabela2[[#This Row],[Proposta
 Inicial]]-Tabela2[[#This Row],[Proposta
 Negociada]]</f>
        <v>0</v>
      </c>
      <c r="Q280" s="4" t="e">
        <f>Tabela2[[#This Row],[Proposta
 Negociada]]/Tabela2[[#This Row],[Proposta
 Inicial]]-1</f>
        <v>#DIV/0!</v>
      </c>
      <c r="S280"/>
    </row>
    <row r="281" spans="1:19" ht="14.45">
      <c r="A281" s="9"/>
      <c r="B281" s="9"/>
      <c r="C281" s="1" t="str">
        <f t="shared" si="10"/>
        <v/>
      </c>
      <c r="I281" s="1" t="str">
        <f>IFERROR(VLOOKUP(H281,SLA_Ref!$A$1:$B$8,2,FALSE),"")</f>
        <v/>
      </c>
      <c r="J281" s="1" t="str">
        <f t="shared" ca="1" si="9"/>
        <v/>
      </c>
      <c r="K281" s="11" t="e">
        <f>Tabela2[[#This Row],[SLA
Padrão]]-Tabela2[[#This Row],[SLA Atendimento]]</f>
        <v>#VALUE!</v>
      </c>
      <c r="L281" s="11"/>
      <c r="O281" s="1" t="s">
        <v>30</v>
      </c>
      <c r="P281" s="2">
        <f>Tabela2[[#This Row],[Proposta
 Inicial]]-Tabela2[[#This Row],[Proposta
 Negociada]]</f>
        <v>0</v>
      </c>
      <c r="Q281" s="4" t="e">
        <f>Tabela2[[#This Row],[Proposta
 Negociada]]/Tabela2[[#This Row],[Proposta
 Inicial]]-1</f>
        <v>#DIV/0!</v>
      </c>
      <c r="S281"/>
    </row>
    <row r="282" spans="1:19" ht="14.45">
      <c r="A282" s="9"/>
      <c r="B282" s="9"/>
      <c r="C282" s="1" t="str">
        <f t="shared" si="10"/>
        <v/>
      </c>
      <c r="I282" s="1" t="str">
        <f>IFERROR(VLOOKUP(H282,SLA_Ref!$A$1:$B$8,2,FALSE),"")</f>
        <v/>
      </c>
      <c r="J282" s="1" t="str">
        <f t="shared" ca="1" si="9"/>
        <v/>
      </c>
      <c r="K282" s="11" t="e">
        <f>Tabela2[[#This Row],[SLA
Padrão]]-Tabela2[[#This Row],[SLA Atendimento]]</f>
        <v>#VALUE!</v>
      </c>
      <c r="L282" s="11"/>
      <c r="O282" s="1" t="s">
        <v>30</v>
      </c>
      <c r="P282" s="2">
        <f>Tabela2[[#This Row],[Proposta
 Inicial]]-Tabela2[[#This Row],[Proposta
 Negociada]]</f>
        <v>0</v>
      </c>
      <c r="Q282" s="4" t="e">
        <f>Tabela2[[#This Row],[Proposta
 Negociada]]/Tabela2[[#This Row],[Proposta
 Inicial]]-1</f>
        <v>#DIV/0!</v>
      </c>
      <c r="S282"/>
    </row>
    <row r="283" spans="1:19" ht="14.45">
      <c r="A283" s="9"/>
      <c r="B283" s="9"/>
      <c r="C283" s="1" t="str">
        <f t="shared" si="10"/>
        <v/>
      </c>
      <c r="I283" s="1" t="str">
        <f>IFERROR(VLOOKUP(H283,SLA_Ref!$A$1:$B$8,2,FALSE),"")</f>
        <v/>
      </c>
      <c r="J283" s="1" t="str">
        <f t="shared" ca="1" si="9"/>
        <v/>
      </c>
      <c r="K283" s="11" t="e">
        <f>Tabela2[[#This Row],[SLA
Padrão]]-Tabela2[[#This Row],[SLA Atendimento]]</f>
        <v>#VALUE!</v>
      </c>
      <c r="L283" s="11"/>
      <c r="O283" s="1" t="s">
        <v>30</v>
      </c>
      <c r="P283" s="2">
        <f>Tabela2[[#This Row],[Proposta
 Inicial]]-Tabela2[[#This Row],[Proposta
 Negociada]]</f>
        <v>0</v>
      </c>
      <c r="Q283" s="4" t="e">
        <f>Tabela2[[#This Row],[Proposta
 Negociada]]/Tabela2[[#This Row],[Proposta
 Inicial]]-1</f>
        <v>#DIV/0!</v>
      </c>
      <c r="S283"/>
    </row>
    <row r="284" spans="1:19" ht="14.45">
      <c r="A284" s="9"/>
      <c r="B284" s="9"/>
      <c r="C284" s="1" t="str">
        <f t="shared" si="10"/>
        <v/>
      </c>
      <c r="I284" s="1" t="str">
        <f>IFERROR(VLOOKUP(H284,SLA_Ref!$A$1:$B$8,2,FALSE),"")</f>
        <v/>
      </c>
      <c r="J284" s="1" t="str">
        <f t="shared" ca="1" si="9"/>
        <v/>
      </c>
      <c r="K284" s="11" t="e">
        <f>Tabela2[[#This Row],[SLA
Padrão]]-Tabela2[[#This Row],[SLA Atendimento]]</f>
        <v>#VALUE!</v>
      </c>
      <c r="L284" s="11"/>
      <c r="O284" s="1" t="s">
        <v>30</v>
      </c>
      <c r="P284" s="2">
        <f>Tabela2[[#This Row],[Proposta
 Inicial]]-Tabela2[[#This Row],[Proposta
 Negociada]]</f>
        <v>0</v>
      </c>
      <c r="Q284" s="4" t="e">
        <f>Tabela2[[#This Row],[Proposta
 Negociada]]/Tabela2[[#This Row],[Proposta
 Inicial]]-1</f>
        <v>#DIV/0!</v>
      </c>
      <c r="S284"/>
    </row>
    <row r="285" spans="1:19" ht="14.45">
      <c r="A285" s="9"/>
      <c r="B285" s="9"/>
      <c r="C285" s="1" t="str">
        <f t="shared" si="10"/>
        <v/>
      </c>
      <c r="I285" s="1" t="str">
        <f>IFERROR(VLOOKUP(H285,SLA_Ref!$A$1:$B$8,2,FALSE),"")</f>
        <v/>
      </c>
      <c r="J285" s="1" t="str">
        <f t="shared" ca="1" si="9"/>
        <v/>
      </c>
      <c r="K285" s="11" t="e">
        <f>Tabela2[[#This Row],[SLA
Padrão]]-Tabela2[[#This Row],[SLA Atendimento]]</f>
        <v>#VALUE!</v>
      </c>
      <c r="L285" s="11"/>
      <c r="O285" s="1" t="s">
        <v>30</v>
      </c>
      <c r="P285" s="2">
        <f>Tabela2[[#This Row],[Proposta
 Inicial]]-Tabela2[[#This Row],[Proposta
 Negociada]]</f>
        <v>0</v>
      </c>
      <c r="Q285" s="4" t="e">
        <f>Tabela2[[#This Row],[Proposta
 Negociada]]/Tabela2[[#This Row],[Proposta
 Inicial]]-1</f>
        <v>#DIV/0!</v>
      </c>
      <c r="S285"/>
    </row>
    <row r="286" spans="1:19" ht="14.45">
      <c r="A286" s="9"/>
      <c r="B286" s="9"/>
      <c r="C286" s="1" t="str">
        <f t="shared" si="10"/>
        <v/>
      </c>
      <c r="I286" s="1" t="str">
        <f>IFERROR(VLOOKUP(H286,SLA_Ref!$A$1:$B$8,2,FALSE),"")</f>
        <v/>
      </c>
      <c r="J286" s="1" t="str">
        <f t="shared" ca="1" si="9"/>
        <v/>
      </c>
      <c r="K286" s="11" t="e">
        <f>Tabela2[[#This Row],[SLA
Padrão]]-Tabela2[[#This Row],[SLA Atendimento]]</f>
        <v>#VALUE!</v>
      </c>
      <c r="L286" s="11"/>
      <c r="O286" s="1" t="s">
        <v>30</v>
      </c>
      <c r="P286" s="2">
        <f>Tabela2[[#This Row],[Proposta
 Inicial]]-Tabela2[[#This Row],[Proposta
 Negociada]]</f>
        <v>0</v>
      </c>
      <c r="Q286" s="4" t="e">
        <f>Tabela2[[#This Row],[Proposta
 Negociada]]/Tabela2[[#This Row],[Proposta
 Inicial]]-1</f>
        <v>#DIV/0!</v>
      </c>
      <c r="S286"/>
    </row>
    <row r="287" spans="1:19" ht="14.45">
      <c r="A287" s="9"/>
      <c r="B287" s="9"/>
      <c r="C287" s="1" t="str">
        <f t="shared" si="10"/>
        <v/>
      </c>
      <c r="I287" s="1" t="str">
        <f>IFERROR(VLOOKUP(H287,SLA_Ref!$A$1:$B$8,2,FALSE),"")</f>
        <v/>
      </c>
      <c r="J287" s="1" t="str">
        <f t="shared" ca="1" si="9"/>
        <v/>
      </c>
      <c r="K287" s="11" t="e">
        <f>Tabela2[[#This Row],[SLA
Padrão]]-Tabela2[[#This Row],[SLA Atendimento]]</f>
        <v>#VALUE!</v>
      </c>
      <c r="L287" s="11"/>
      <c r="O287" s="1" t="s">
        <v>30</v>
      </c>
      <c r="P287" s="2">
        <f>Tabela2[[#This Row],[Proposta
 Inicial]]-Tabela2[[#This Row],[Proposta
 Negociada]]</f>
        <v>0</v>
      </c>
      <c r="Q287" s="4" t="e">
        <f>Tabela2[[#This Row],[Proposta
 Negociada]]/Tabela2[[#This Row],[Proposta
 Inicial]]-1</f>
        <v>#DIV/0!</v>
      </c>
      <c r="S287"/>
    </row>
    <row r="288" spans="1:19" ht="14.45">
      <c r="A288" s="9"/>
      <c r="B288" s="9"/>
      <c r="C288" s="1" t="str">
        <f t="shared" si="10"/>
        <v/>
      </c>
      <c r="I288" s="1" t="str">
        <f>IFERROR(VLOOKUP(H288,SLA_Ref!$A$1:$B$8,2,FALSE),"")</f>
        <v/>
      </c>
      <c r="J288" s="1" t="str">
        <f t="shared" ca="1" si="9"/>
        <v/>
      </c>
      <c r="K288" s="11" t="e">
        <f>Tabela2[[#This Row],[SLA
Padrão]]-Tabela2[[#This Row],[SLA Atendimento]]</f>
        <v>#VALUE!</v>
      </c>
      <c r="L288" s="11"/>
      <c r="O288" s="1" t="s">
        <v>30</v>
      </c>
      <c r="P288" s="2">
        <f>Tabela2[[#This Row],[Proposta
 Inicial]]-Tabela2[[#This Row],[Proposta
 Negociada]]</f>
        <v>0</v>
      </c>
      <c r="Q288" s="4" t="e">
        <f>Tabela2[[#This Row],[Proposta
 Negociada]]/Tabela2[[#This Row],[Proposta
 Inicial]]-1</f>
        <v>#DIV/0!</v>
      </c>
      <c r="S288"/>
    </row>
    <row r="289" spans="1:19" ht="14.45">
      <c r="A289" s="9"/>
      <c r="B289" s="9"/>
      <c r="C289" s="1" t="str">
        <f t="shared" si="10"/>
        <v/>
      </c>
      <c r="I289" s="1" t="str">
        <f>IFERROR(VLOOKUP(H289,SLA_Ref!$A$1:$B$8,2,FALSE),"")</f>
        <v/>
      </c>
      <c r="J289" s="1" t="str">
        <f t="shared" ca="1" si="9"/>
        <v/>
      </c>
      <c r="K289" s="11" t="e">
        <f>Tabela2[[#This Row],[SLA
Padrão]]-Tabela2[[#This Row],[SLA Atendimento]]</f>
        <v>#VALUE!</v>
      </c>
      <c r="L289" s="11"/>
      <c r="O289" s="1" t="s">
        <v>30</v>
      </c>
      <c r="P289" s="2">
        <f>Tabela2[[#This Row],[Proposta
 Inicial]]-Tabela2[[#This Row],[Proposta
 Negociada]]</f>
        <v>0</v>
      </c>
      <c r="Q289" s="4" t="e">
        <f>Tabela2[[#This Row],[Proposta
 Negociada]]/Tabela2[[#This Row],[Proposta
 Inicial]]-1</f>
        <v>#DIV/0!</v>
      </c>
      <c r="S289"/>
    </row>
    <row r="290" spans="1:19" ht="14.45">
      <c r="A290" s="9"/>
      <c r="B290" s="9"/>
      <c r="C290" s="1" t="str">
        <f t="shared" si="10"/>
        <v/>
      </c>
      <c r="I290" s="1" t="str">
        <f>IFERROR(VLOOKUP(H290,SLA_Ref!$A$1:$B$8,2,FALSE),"")</f>
        <v/>
      </c>
      <c r="J290" s="1" t="str">
        <f t="shared" ca="1" si="9"/>
        <v/>
      </c>
      <c r="K290" s="11" t="e">
        <f>Tabela2[[#This Row],[SLA
Padrão]]-Tabela2[[#This Row],[SLA Atendimento]]</f>
        <v>#VALUE!</v>
      </c>
      <c r="L290" s="11"/>
      <c r="O290" s="1" t="s">
        <v>30</v>
      </c>
      <c r="P290" s="2">
        <f>Tabela2[[#This Row],[Proposta
 Inicial]]-Tabela2[[#This Row],[Proposta
 Negociada]]</f>
        <v>0</v>
      </c>
      <c r="Q290" s="4" t="e">
        <f>Tabela2[[#This Row],[Proposta
 Negociada]]/Tabela2[[#This Row],[Proposta
 Inicial]]-1</f>
        <v>#DIV/0!</v>
      </c>
      <c r="S290"/>
    </row>
    <row r="291" spans="1:19" ht="14.45">
      <c r="A291" s="9"/>
      <c r="B291" s="9"/>
      <c r="C291" s="1" t="str">
        <f t="shared" si="10"/>
        <v/>
      </c>
      <c r="I291" s="1" t="str">
        <f>IFERROR(VLOOKUP(H291,SLA_Ref!$A$1:$B$8,2,FALSE),"")</f>
        <v/>
      </c>
      <c r="J291" s="1" t="str">
        <f t="shared" ca="1" si="9"/>
        <v/>
      </c>
      <c r="K291" s="11" t="e">
        <f>Tabela2[[#This Row],[SLA
Padrão]]-Tabela2[[#This Row],[SLA Atendimento]]</f>
        <v>#VALUE!</v>
      </c>
      <c r="L291" s="11"/>
      <c r="O291" s="1" t="s">
        <v>30</v>
      </c>
      <c r="P291" s="2">
        <f>Tabela2[[#This Row],[Proposta
 Inicial]]-Tabela2[[#This Row],[Proposta
 Negociada]]</f>
        <v>0</v>
      </c>
      <c r="Q291" s="4" t="e">
        <f>Tabela2[[#This Row],[Proposta
 Negociada]]/Tabela2[[#This Row],[Proposta
 Inicial]]-1</f>
        <v>#DIV/0!</v>
      </c>
      <c r="S291"/>
    </row>
    <row r="292" spans="1:19" ht="14.45">
      <c r="A292" s="9"/>
      <c r="B292" s="9"/>
      <c r="C292" s="1" t="str">
        <f t="shared" si="10"/>
        <v/>
      </c>
      <c r="I292" s="1" t="str">
        <f>IFERROR(VLOOKUP(H292,SLA_Ref!$A$1:$B$8,2,FALSE),"")</f>
        <v/>
      </c>
      <c r="J292" s="1" t="str">
        <f t="shared" ca="1" si="9"/>
        <v/>
      </c>
      <c r="K292" s="11" t="e">
        <f>Tabela2[[#This Row],[SLA
Padrão]]-Tabela2[[#This Row],[SLA Atendimento]]</f>
        <v>#VALUE!</v>
      </c>
      <c r="L292" s="11"/>
      <c r="O292" s="1" t="s">
        <v>30</v>
      </c>
      <c r="P292" s="2">
        <f>Tabela2[[#This Row],[Proposta
 Inicial]]-Tabela2[[#This Row],[Proposta
 Negociada]]</f>
        <v>0</v>
      </c>
      <c r="Q292" s="4" t="e">
        <f>Tabela2[[#This Row],[Proposta
 Negociada]]/Tabela2[[#This Row],[Proposta
 Inicial]]-1</f>
        <v>#DIV/0!</v>
      </c>
      <c r="S292"/>
    </row>
    <row r="293" spans="1:19" ht="14.45">
      <c r="A293" s="9"/>
      <c r="B293" s="9"/>
      <c r="C293" s="1" t="str">
        <f t="shared" si="10"/>
        <v/>
      </c>
      <c r="I293" s="1" t="str">
        <f>IFERROR(VLOOKUP(H293,SLA_Ref!$A$1:$B$8,2,FALSE),"")</f>
        <v/>
      </c>
      <c r="J293" s="1" t="str">
        <f t="shared" ca="1" si="9"/>
        <v/>
      </c>
      <c r="K293" s="11" t="e">
        <f>Tabela2[[#This Row],[SLA
Padrão]]-Tabela2[[#This Row],[SLA Atendimento]]</f>
        <v>#VALUE!</v>
      </c>
      <c r="L293" s="11"/>
      <c r="O293" s="1" t="s">
        <v>30</v>
      </c>
      <c r="P293" s="2">
        <f>Tabela2[[#This Row],[Proposta
 Inicial]]-Tabela2[[#This Row],[Proposta
 Negociada]]</f>
        <v>0</v>
      </c>
      <c r="Q293" s="4" t="e">
        <f>Tabela2[[#This Row],[Proposta
 Negociada]]/Tabela2[[#This Row],[Proposta
 Inicial]]-1</f>
        <v>#DIV/0!</v>
      </c>
      <c r="S293"/>
    </row>
    <row r="294" spans="1:19" ht="14.45">
      <c r="A294" s="9"/>
      <c r="B294" s="9"/>
      <c r="C294" s="1" t="str">
        <f t="shared" si="10"/>
        <v/>
      </c>
      <c r="I294" s="1" t="str">
        <f>IFERROR(VLOOKUP(H294,SLA_Ref!$A$1:$B$8,2,FALSE),"")</f>
        <v/>
      </c>
      <c r="J294" s="1" t="str">
        <f t="shared" ca="1" si="9"/>
        <v/>
      </c>
      <c r="K294" s="11" t="e">
        <f>Tabela2[[#This Row],[SLA
Padrão]]-Tabela2[[#This Row],[SLA Atendimento]]</f>
        <v>#VALUE!</v>
      </c>
      <c r="L294" s="11"/>
      <c r="O294" s="1" t="s">
        <v>30</v>
      </c>
      <c r="P294" s="2">
        <f>Tabela2[[#This Row],[Proposta
 Inicial]]-Tabela2[[#This Row],[Proposta
 Negociada]]</f>
        <v>0</v>
      </c>
      <c r="Q294" s="4" t="e">
        <f>Tabela2[[#This Row],[Proposta
 Negociada]]/Tabela2[[#This Row],[Proposta
 Inicial]]-1</f>
        <v>#DIV/0!</v>
      </c>
      <c r="S294"/>
    </row>
    <row r="295" spans="1:19" ht="14.45">
      <c r="A295" s="9"/>
      <c r="B295" s="9"/>
      <c r="C295" s="1" t="str">
        <f t="shared" si="10"/>
        <v/>
      </c>
      <c r="I295" s="1" t="str">
        <f>IFERROR(VLOOKUP(H295,SLA_Ref!$A$1:$B$8,2,FALSE),"")</f>
        <v/>
      </c>
      <c r="J295" s="1" t="str">
        <f t="shared" ca="1" si="9"/>
        <v/>
      </c>
      <c r="K295" s="11" t="e">
        <f>Tabela2[[#This Row],[SLA
Padrão]]-Tabela2[[#This Row],[SLA Atendimento]]</f>
        <v>#VALUE!</v>
      </c>
      <c r="L295" s="11"/>
      <c r="O295" s="1" t="s">
        <v>30</v>
      </c>
      <c r="P295" s="2">
        <f>Tabela2[[#This Row],[Proposta
 Inicial]]-Tabela2[[#This Row],[Proposta
 Negociada]]</f>
        <v>0</v>
      </c>
      <c r="Q295" s="4" t="e">
        <f>Tabela2[[#This Row],[Proposta
 Negociada]]/Tabela2[[#This Row],[Proposta
 Inicial]]-1</f>
        <v>#DIV/0!</v>
      </c>
      <c r="S295"/>
    </row>
    <row r="296" spans="1:19" ht="14.45">
      <c r="A296" s="9"/>
      <c r="B296" s="9"/>
      <c r="C296" s="1" t="str">
        <f t="shared" si="10"/>
        <v/>
      </c>
      <c r="I296" s="1" t="str">
        <f>IFERROR(VLOOKUP(H296,SLA_Ref!$A$1:$B$8,2,FALSE),"")</f>
        <v/>
      </c>
      <c r="J296" s="1" t="str">
        <f t="shared" ca="1" si="9"/>
        <v/>
      </c>
      <c r="K296" s="11" t="e">
        <f>Tabela2[[#This Row],[SLA
Padrão]]-Tabela2[[#This Row],[SLA Atendimento]]</f>
        <v>#VALUE!</v>
      </c>
      <c r="L296" s="11"/>
      <c r="O296" s="1" t="s">
        <v>30</v>
      </c>
      <c r="P296" s="2">
        <f>Tabela2[[#This Row],[Proposta
 Inicial]]-Tabela2[[#This Row],[Proposta
 Negociada]]</f>
        <v>0</v>
      </c>
      <c r="Q296" s="4" t="e">
        <f>Tabela2[[#This Row],[Proposta
 Negociada]]/Tabela2[[#This Row],[Proposta
 Inicial]]-1</f>
        <v>#DIV/0!</v>
      </c>
      <c r="S296"/>
    </row>
    <row r="297" spans="1:19" ht="14.45">
      <c r="A297" s="9"/>
      <c r="B297" s="9"/>
      <c r="C297" s="1" t="str">
        <f t="shared" si="10"/>
        <v/>
      </c>
      <c r="I297" s="1" t="str">
        <f>IFERROR(VLOOKUP(H297,SLA_Ref!$A$1:$B$8,2,FALSE),"")</f>
        <v/>
      </c>
      <c r="J297" s="1" t="str">
        <f t="shared" ca="1" si="9"/>
        <v/>
      </c>
      <c r="K297" s="11" t="e">
        <f>Tabela2[[#This Row],[SLA
Padrão]]-Tabela2[[#This Row],[SLA Atendimento]]</f>
        <v>#VALUE!</v>
      </c>
      <c r="L297" s="11"/>
      <c r="O297" s="1" t="s">
        <v>30</v>
      </c>
      <c r="P297" s="2">
        <f>Tabela2[[#This Row],[Proposta
 Inicial]]-Tabela2[[#This Row],[Proposta
 Negociada]]</f>
        <v>0</v>
      </c>
      <c r="Q297" s="4" t="e">
        <f>Tabela2[[#This Row],[Proposta
 Negociada]]/Tabela2[[#This Row],[Proposta
 Inicial]]-1</f>
        <v>#DIV/0!</v>
      </c>
      <c r="S297"/>
    </row>
    <row r="298" spans="1:19" ht="14.45">
      <c r="A298" s="9"/>
      <c r="B298" s="9"/>
      <c r="C298" s="1" t="str">
        <f t="shared" si="10"/>
        <v/>
      </c>
      <c r="I298" s="1" t="str">
        <f>IFERROR(VLOOKUP(H298,SLA_Ref!$A$1:$B$8,2,FALSE),"")</f>
        <v/>
      </c>
      <c r="J298" s="1" t="str">
        <f t="shared" ca="1" si="9"/>
        <v/>
      </c>
      <c r="K298" s="11" t="e">
        <f>Tabela2[[#This Row],[SLA
Padrão]]-Tabela2[[#This Row],[SLA Atendimento]]</f>
        <v>#VALUE!</v>
      </c>
      <c r="L298" s="11"/>
      <c r="O298" s="1" t="s">
        <v>30</v>
      </c>
      <c r="P298" s="2">
        <f>Tabela2[[#This Row],[Proposta
 Inicial]]-Tabela2[[#This Row],[Proposta
 Negociada]]</f>
        <v>0</v>
      </c>
      <c r="Q298" s="4" t="e">
        <f>Tabela2[[#This Row],[Proposta
 Negociada]]/Tabela2[[#This Row],[Proposta
 Inicial]]-1</f>
        <v>#DIV/0!</v>
      </c>
      <c r="S298"/>
    </row>
    <row r="299" spans="1:19" ht="14.45">
      <c r="A299" s="9"/>
      <c r="B299" s="9"/>
      <c r="C299" s="1" t="str">
        <f t="shared" si="10"/>
        <v/>
      </c>
      <c r="I299" s="1" t="str">
        <f>IFERROR(VLOOKUP(H299,SLA_Ref!$A$1:$B$8,2,FALSE),"")</f>
        <v/>
      </c>
      <c r="J299" s="1" t="str">
        <f t="shared" ref="J299:J362" ca="1" si="11">IF(A299="","",IF(B299="",IF(TODAY()-A299&gt;I299,"ATRASADA","EM ANDAMENTO"),IF(B299-A299&gt;I299,"ATRASADA","NO PRAZO")))</f>
        <v/>
      </c>
      <c r="K299" s="11" t="e">
        <f>Tabela2[[#This Row],[SLA
Padrão]]-Tabela2[[#This Row],[SLA Atendimento]]</f>
        <v>#VALUE!</v>
      </c>
      <c r="L299" s="11"/>
      <c r="O299" s="1" t="s">
        <v>30</v>
      </c>
      <c r="P299" s="2">
        <f>Tabela2[[#This Row],[Proposta
 Inicial]]-Tabela2[[#This Row],[Proposta
 Negociada]]</f>
        <v>0</v>
      </c>
      <c r="Q299" s="4" t="e">
        <f>Tabela2[[#This Row],[Proposta
 Negociada]]/Tabela2[[#This Row],[Proposta
 Inicial]]-1</f>
        <v>#DIV/0!</v>
      </c>
      <c r="S299"/>
    </row>
    <row r="300" spans="1:19" ht="14.45">
      <c r="A300" s="9"/>
      <c r="B300" s="9"/>
      <c r="C300" s="1" t="str">
        <f t="shared" si="10"/>
        <v/>
      </c>
      <c r="I300" s="1" t="str">
        <f>IFERROR(VLOOKUP(H300,SLA_Ref!$A$1:$B$8,2,FALSE),"")</f>
        <v/>
      </c>
      <c r="J300" s="1" t="str">
        <f t="shared" ca="1" si="11"/>
        <v/>
      </c>
      <c r="K300" s="11" t="e">
        <f>Tabela2[[#This Row],[SLA
Padrão]]-Tabela2[[#This Row],[SLA Atendimento]]</f>
        <v>#VALUE!</v>
      </c>
      <c r="L300" s="11"/>
      <c r="O300" s="1" t="s">
        <v>30</v>
      </c>
      <c r="P300" s="2">
        <f>Tabela2[[#This Row],[Proposta
 Inicial]]-Tabela2[[#This Row],[Proposta
 Negociada]]</f>
        <v>0</v>
      </c>
      <c r="Q300" s="4" t="e">
        <f>Tabela2[[#This Row],[Proposta
 Negociada]]/Tabela2[[#This Row],[Proposta
 Inicial]]-1</f>
        <v>#DIV/0!</v>
      </c>
      <c r="S300"/>
    </row>
    <row r="301" spans="1:19" ht="14.45">
      <c r="A301" s="9"/>
      <c r="B301" s="9"/>
      <c r="C301" s="1" t="str">
        <f t="shared" si="10"/>
        <v/>
      </c>
      <c r="I301" s="1" t="str">
        <f>IFERROR(VLOOKUP(H301,SLA_Ref!$A$1:$B$8,2,FALSE),"")</f>
        <v/>
      </c>
      <c r="J301" s="1" t="str">
        <f t="shared" ca="1" si="11"/>
        <v/>
      </c>
      <c r="K301" s="11" t="e">
        <f>Tabela2[[#This Row],[SLA
Padrão]]-Tabela2[[#This Row],[SLA Atendimento]]</f>
        <v>#VALUE!</v>
      </c>
      <c r="L301" s="11"/>
      <c r="O301" s="1" t="s">
        <v>30</v>
      </c>
      <c r="P301" s="2">
        <f>Tabela2[[#This Row],[Proposta
 Inicial]]-Tabela2[[#This Row],[Proposta
 Negociada]]</f>
        <v>0</v>
      </c>
      <c r="Q301" s="4" t="e">
        <f>Tabela2[[#This Row],[Proposta
 Negociada]]/Tabela2[[#This Row],[Proposta
 Inicial]]-1</f>
        <v>#DIV/0!</v>
      </c>
      <c r="S301"/>
    </row>
    <row r="302" spans="1:19" ht="14.45">
      <c r="A302" s="9"/>
      <c r="B302" s="9"/>
      <c r="C302" s="1" t="str">
        <f t="shared" si="10"/>
        <v/>
      </c>
      <c r="I302" s="1" t="str">
        <f>IFERROR(VLOOKUP(H302,SLA_Ref!$A$1:$B$8,2,FALSE),"")</f>
        <v/>
      </c>
      <c r="J302" s="1" t="str">
        <f t="shared" ca="1" si="11"/>
        <v/>
      </c>
      <c r="K302" s="11" t="e">
        <f>Tabela2[[#This Row],[SLA
Padrão]]-Tabela2[[#This Row],[SLA Atendimento]]</f>
        <v>#VALUE!</v>
      </c>
      <c r="L302" s="11"/>
      <c r="O302" s="1" t="s">
        <v>30</v>
      </c>
      <c r="P302" s="2">
        <f>Tabela2[[#This Row],[Proposta
 Inicial]]-Tabela2[[#This Row],[Proposta
 Negociada]]</f>
        <v>0</v>
      </c>
      <c r="Q302" s="4" t="e">
        <f>Tabela2[[#This Row],[Proposta
 Negociada]]/Tabela2[[#This Row],[Proposta
 Inicial]]-1</f>
        <v>#DIV/0!</v>
      </c>
      <c r="S302"/>
    </row>
    <row r="303" spans="1:19" ht="14.45">
      <c r="A303" s="9"/>
      <c r="B303" s="9"/>
      <c r="C303" s="1" t="str">
        <f t="shared" si="10"/>
        <v/>
      </c>
      <c r="I303" s="1" t="str">
        <f>IFERROR(VLOOKUP(H303,SLA_Ref!$A$1:$B$8,2,FALSE),"")</f>
        <v/>
      </c>
      <c r="J303" s="1" t="str">
        <f t="shared" ca="1" si="11"/>
        <v/>
      </c>
      <c r="K303" s="11" t="e">
        <f>Tabela2[[#This Row],[SLA
Padrão]]-Tabela2[[#This Row],[SLA Atendimento]]</f>
        <v>#VALUE!</v>
      </c>
      <c r="L303" s="11"/>
      <c r="O303" s="1" t="s">
        <v>30</v>
      </c>
      <c r="P303" s="2">
        <f>Tabela2[[#This Row],[Proposta
 Inicial]]-Tabela2[[#This Row],[Proposta
 Negociada]]</f>
        <v>0</v>
      </c>
      <c r="Q303" s="4" t="e">
        <f>Tabela2[[#This Row],[Proposta
 Negociada]]/Tabela2[[#This Row],[Proposta
 Inicial]]-1</f>
        <v>#DIV/0!</v>
      </c>
      <c r="S303"/>
    </row>
    <row r="304" spans="1:19" ht="14.45">
      <c r="A304" s="9"/>
      <c r="B304" s="9"/>
      <c r="C304" s="1" t="str">
        <f t="shared" si="10"/>
        <v/>
      </c>
      <c r="I304" s="1" t="str">
        <f>IFERROR(VLOOKUP(H304,SLA_Ref!$A$1:$B$8,2,FALSE),"")</f>
        <v/>
      </c>
      <c r="J304" s="1" t="str">
        <f t="shared" ca="1" si="11"/>
        <v/>
      </c>
      <c r="K304" s="11" t="e">
        <f>Tabela2[[#This Row],[SLA
Padrão]]-Tabela2[[#This Row],[SLA Atendimento]]</f>
        <v>#VALUE!</v>
      </c>
      <c r="L304" s="11"/>
      <c r="O304" s="1" t="s">
        <v>30</v>
      </c>
      <c r="P304" s="2">
        <f>Tabela2[[#This Row],[Proposta
 Inicial]]-Tabela2[[#This Row],[Proposta
 Negociada]]</f>
        <v>0</v>
      </c>
      <c r="Q304" s="4" t="e">
        <f>Tabela2[[#This Row],[Proposta
 Negociada]]/Tabela2[[#This Row],[Proposta
 Inicial]]-1</f>
        <v>#DIV/0!</v>
      </c>
      <c r="S304"/>
    </row>
    <row r="305" spans="1:19" ht="14.45">
      <c r="A305" s="9"/>
      <c r="B305" s="9"/>
      <c r="C305" s="1" t="str">
        <f t="shared" si="10"/>
        <v/>
      </c>
      <c r="I305" s="1" t="str">
        <f>IFERROR(VLOOKUP(H305,SLA_Ref!$A$1:$B$8,2,FALSE),"")</f>
        <v/>
      </c>
      <c r="J305" s="1" t="str">
        <f t="shared" ca="1" si="11"/>
        <v/>
      </c>
      <c r="K305" s="11" t="e">
        <f>Tabela2[[#This Row],[SLA
Padrão]]-Tabela2[[#This Row],[SLA Atendimento]]</f>
        <v>#VALUE!</v>
      </c>
      <c r="L305" s="11"/>
      <c r="O305" s="1" t="s">
        <v>30</v>
      </c>
      <c r="P305" s="2">
        <f>Tabela2[[#This Row],[Proposta
 Inicial]]-Tabela2[[#This Row],[Proposta
 Negociada]]</f>
        <v>0</v>
      </c>
      <c r="Q305" s="4" t="e">
        <f>Tabela2[[#This Row],[Proposta
 Negociada]]/Tabela2[[#This Row],[Proposta
 Inicial]]-1</f>
        <v>#DIV/0!</v>
      </c>
      <c r="S305"/>
    </row>
    <row r="306" spans="1:19" ht="14.45">
      <c r="A306" s="9"/>
      <c r="B306" s="9"/>
      <c r="C306" s="1" t="str">
        <f t="shared" si="10"/>
        <v/>
      </c>
      <c r="I306" s="1" t="str">
        <f>IFERROR(VLOOKUP(H306,SLA_Ref!$A$1:$B$8,2,FALSE),"")</f>
        <v/>
      </c>
      <c r="J306" s="1" t="str">
        <f t="shared" ca="1" si="11"/>
        <v/>
      </c>
      <c r="K306" s="11" t="e">
        <f>Tabela2[[#This Row],[SLA
Padrão]]-Tabela2[[#This Row],[SLA Atendimento]]</f>
        <v>#VALUE!</v>
      </c>
      <c r="L306" s="11"/>
      <c r="O306" s="1" t="s">
        <v>30</v>
      </c>
      <c r="P306" s="2">
        <f>Tabela2[[#This Row],[Proposta
 Inicial]]-Tabela2[[#This Row],[Proposta
 Negociada]]</f>
        <v>0</v>
      </c>
      <c r="Q306" s="4" t="e">
        <f>Tabela2[[#This Row],[Proposta
 Negociada]]/Tabela2[[#This Row],[Proposta
 Inicial]]-1</f>
        <v>#DIV/0!</v>
      </c>
      <c r="S306"/>
    </row>
    <row r="307" spans="1:19" ht="14.45">
      <c r="A307" s="9"/>
      <c r="B307" s="9"/>
      <c r="C307" s="1" t="str">
        <f t="shared" si="10"/>
        <v/>
      </c>
      <c r="I307" s="1" t="str">
        <f>IFERROR(VLOOKUP(H307,SLA_Ref!$A$1:$B$8,2,FALSE),"")</f>
        <v/>
      </c>
      <c r="J307" s="1" t="str">
        <f t="shared" ca="1" si="11"/>
        <v/>
      </c>
      <c r="K307" s="11" t="e">
        <f>Tabela2[[#This Row],[SLA
Padrão]]-Tabela2[[#This Row],[SLA Atendimento]]</f>
        <v>#VALUE!</v>
      </c>
      <c r="L307" s="11"/>
      <c r="O307" s="1" t="s">
        <v>30</v>
      </c>
      <c r="P307" s="2">
        <f>Tabela2[[#This Row],[Proposta
 Inicial]]-Tabela2[[#This Row],[Proposta
 Negociada]]</f>
        <v>0</v>
      </c>
      <c r="Q307" s="4" t="e">
        <f>Tabela2[[#This Row],[Proposta
 Negociada]]/Tabela2[[#This Row],[Proposta
 Inicial]]-1</f>
        <v>#DIV/0!</v>
      </c>
      <c r="S307"/>
    </row>
    <row r="308" spans="1:19" ht="14.45">
      <c r="A308" s="9"/>
      <c r="B308" s="9"/>
      <c r="C308" s="1" t="str">
        <f t="shared" si="10"/>
        <v/>
      </c>
      <c r="I308" s="1" t="str">
        <f>IFERROR(VLOOKUP(H308,SLA_Ref!$A$1:$B$8,2,FALSE),"")</f>
        <v/>
      </c>
      <c r="J308" s="1" t="str">
        <f t="shared" ca="1" si="11"/>
        <v/>
      </c>
      <c r="K308" s="11" t="e">
        <f>Tabela2[[#This Row],[SLA
Padrão]]-Tabela2[[#This Row],[SLA Atendimento]]</f>
        <v>#VALUE!</v>
      </c>
      <c r="L308" s="11"/>
      <c r="O308" s="1" t="s">
        <v>30</v>
      </c>
      <c r="P308" s="2">
        <f>Tabela2[[#This Row],[Proposta
 Inicial]]-Tabela2[[#This Row],[Proposta
 Negociada]]</f>
        <v>0</v>
      </c>
      <c r="Q308" s="4" t="e">
        <f>Tabela2[[#This Row],[Proposta
 Negociada]]/Tabela2[[#This Row],[Proposta
 Inicial]]-1</f>
        <v>#DIV/0!</v>
      </c>
      <c r="S308"/>
    </row>
    <row r="309" spans="1:19" ht="14.45">
      <c r="A309" s="9"/>
      <c r="B309" s="9"/>
      <c r="C309" s="1" t="str">
        <f t="shared" si="10"/>
        <v/>
      </c>
      <c r="I309" s="1" t="str">
        <f>IFERROR(VLOOKUP(H309,SLA_Ref!$A$1:$B$8,2,FALSE),"")</f>
        <v/>
      </c>
      <c r="J309" s="1" t="str">
        <f t="shared" ca="1" si="11"/>
        <v/>
      </c>
      <c r="K309" s="11" t="e">
        <f>Tabela2[[#This Row],[SLA
Padrão]]-Tabela2[[#This Row],[SLA Atendimento]]</f>
        <v>#VALUE!</v>
      </c>
      <c r="L309" s="11"/>
      <c r="O309" s="1" t="s">
        <v>30</v>
      </c>
      <c r="P309" s="2">
        <f>Tabela2[[#This Row],[Proposta
 Inicial]]-Tabela2[[#This Row],[Proposta
 Negociada]]</f>
        <v>0</v>
      </c>
      <c r="Q309" s="4" t="e">
        <f>Tabela2[[#This Row],[Proposta
 Negociada]]/Tabela2[[#This Row],[Proposta
 Inicial]]-1</f>
        <v>#DIV/0!</v>
      </c>
      <c r="S309"/>
    </row>
    <row r="310" spans="1:19" ht="14.45">
      <c r="A310" s="9"/>
      <c r="B310" s="9"/>
      <c r="C310" s="1" t="str">
        <f t="shared" si="10"/>
        <v/>
      </c>
      <c r="I310" s="1" t="str">
        <f>IFERROR(VLOOKUP(H310,SLA_Ref!$A$1:$B$8,2,FALSE),"")</f>
        <v/>
      </c>
      <c r="J310" s="1" t="str">
        <f t="shared" ca="1" si="11"/>
        <v/>
      </c>
      <c r="K310" s="11" t="e">
        <f>Tabela2[[#This Row],[SLA
Padrão]]-Tabela2[[#This Row],[SLA Atendimento]]</f>
        <v>#VALUE!</v>
      </c>
      <c r="L310" s="11"/>
      <c r="O310" s="1" t="s">
        <v>30</v>
      </c>
      <c r="P310" s="2">
        <f>Tabela2[[#This Row],[Proposta
 Inicial]]-Tabela2[[#This Row],[Proposta
 Negociada]]</f>
        <v>0</v>
      </c>
      <c r="Q310" s="4" t="e">
        <f>Tabela2[[#This Row],[Proposta
 Negociada]]/Tabela2[[#This Row],[Proposta
 Inicial]]-1</f>
        <v>#DIV/0!</v>
      </c>
      <c r="S310"/>
    </row>
    <row r="311" spans="1:19" ht="14.45">
      <c r="A311" s="9"/>
      <c r="B311" s="9"/>
      <c r="C311" s="1" t="str">
        <f t="shared" si="10"/>
        <v/>
      </c>
      <c r="I311" s="1" t="str">
        <f>IFERROR(VLOOKUP(H311,SLA_Ref!$A$1:$B$8,2,FALSE),"")</f>
        <v/>
      </c>
      <c r="J311" s="1" t="str">
        <f t="shared" ca="1" si="11"/>
        <v/>
      </c>
      <c r="K311" s="11" t="e">
        <f>Tabela2[[#This Row],[SLA
Padrão]]-Tabela2[[#This Row],[SLA Atendimento]]</f>
        <v>#VALUE!</v>
      </c>
      <c r="L311" s="11"/>
      <c r="O311" s="1" t="s">
        <v>30</v>
      </c>
      <c r="P311" s="2">
        <f>Tabela2[[#This Row],[Proposta
 Inicial]]-Tabela2[[#This Row],[Proposta
 Negociada]]</f>
        <v>0</v>
      </c>
      <c r="Q311" s="4" t="e">
        <f>Tabela2[[#This Row],[Proposta
 Negociada]]/Tabela2[[#This Row],[Proposta
 Inicial]]-1</f>
        <v>#DIV/0!</v>
      </c>
      <c r="S311"/>
    </row>
    <row r="312" spans="1:19" ht="14.45">
      <c r="A312" s="9"/>
      <c r="B312" s="9"/>
      <c r="C312" s="1" t="str">
        <f t="shared" si="10"/>
        <v/>
      </c>
      <c r="I312" s="1" t="str">
        <f>IFERROR(VLOOKUP(H312,SLA_Ref!$A$1:$B$8,2,FALSE),"")</f>
        <v/>
      </c>
      <c r="J312" s="1" t="str">
        <f t="shared" ca="1" si="11"/>
        <v/>
      </c>
      <c r="K312" s="11" t="e">
        <f>Tabela2[[#This Row],[SLA
Padrão]]-Tabela2[[#This Row],[SLA Atendimento]]</f>
        <v>#VALUE!</v>
      </c>
      <c r="L312" s="11"/>
      <c r="O312" s="1" t="s">
        <v>30</v>
      </c>
      <c r="P312" s="2">
        <f>Tabela2[[#This Row],[Proposta
 Inicial]]-Tabela2[[#This Row],[Proposta
 Negociada]]</f>
        <v>0</v>
      </c>
      <c r="Q312" s="4" t="e">
        <f>Tabela2[[#This Row],[Proposta
 Negociada]]/Tabela2[[#This Row],[Proposta
 Inicial]]-1</f>
        <v>#DIV/0!</v>
      </c>
      <c r="S312"/>
    </row>
    <row r="313" spans="1:19" ht="14.45">
      <c r="A313" s="9"/>
      <c r="B313" s="9"/>
      <c r="C313" s="1" t="str">
        <f t="shared" si="10"/>
        <v/>
      </c>
      <c r="I313" s="1" t="str">
        <f>IFERROR(VLOOKUP(H313,SLA_Ref!$A$1:$B$8,2,FALSE),"")</f>
        <v/>
      </c>
      <c r="J313" s="1" t="str">
        <f t="shared" ca="1" si="11"/>
        <v/>
      </c>
      <c r="K313" s="11" t="e">
        <f>Tabela2[[#This Row],[SLA
Padrão]]-Tabela2[[#This Row],[SLA Atendimento]]</f>
        <v>#VALUE!</v>
      </c>
      <c r="L313" s="11"/>
      <c r="O313" s="1" t="s">
        <v>30</v>
      </c>
      <c r="P313" s="2">
        <f>Tabela2[[#This Row],[Proposta
 Inicial]]-Tabela2[[#This Row],[Proposta
 Negociada]]</f>
        <v>0</v>
      </c>
      <c r="Q313" s="4" t="e">
        <f>Tabela2[[#This Row],[Proposta
 Negociada]]/Tabela2[[#This Row],[Proposta
 Inicial]]-1</f>
        <v>#DIV/0!</v>
      </c>
      <c r="S313"/>
    </row>
    <row r="314" spans="1:19" ht="14.45">
      <c r="A314" s="9"/>
      <c r="B314" s="9"/>
      <c r="C314" s="1" t="str">
        <f t="shared" si="10"/>
        <v/>
      </c>
      <c r="I314" s="1" t="str">
        <f>IFERROR(VLOOKUP(H314,SLA_Ref!$A$1:$B$8,2,FALSE),"")</f>
        <v/>
      </c>
      <c r="J314" s="1" t="str">
        <f t="shared" ca="1" si="11"/>
        <v/>
      </c>
      <c r="K314" s="11" t="e">
        <f>Tabela2[[#This Row],[SLA
Padrão]]-Tabela2[[#This Row],[SLA Atendimento]]</f>
        <v>#VALUE!</v>
      </c>
      <c r="L314" s="11"/>
      <c r="O314" s="1" t="s">
        <v>30</v>
      </c>
      <c r="P314" s="2">
        <f>Tabela2[[#This Row],[Proposta
 Inicial]]-Tabela2[[#This Row],[Proposta
 Negociada]]</f>
        <v>0</v>
      </c>
      <c r="Q314" s="4" t="e">
        <f>Tabela2[[#This Row],[Proposta
 Negociada]]/Tabela2[[#This Row],[Proposta
 Inicial]]-1</f>
        <v>#DIV/0!</v>
      </c>
      <c r="S314"/>
    </row>
    <row r="315" spans="1:19" ht="14.45">
      <c r="A315" s="9"/>
      <c r="B315" s="9"/>
      <c r="C315" s="1" t="str">
        <f t="shared" si="10"/>
        <v/>
      </c>
      <c r="I315" s="1" t="str">
        <f>IFERROR(VLOOKUP(H315,SLA_Ref!$A$1:$B$8,2,FALSE),"")</f>
        <v/>
      </c>
      <c r="J315" s="1" t="str">
        <f t="shared" ca="1" si="11"/>
        <v/>
      </c>
      <c r="K315" s="11" t="e">
        <f>Tabela2[[#This Row],[SLA
Padrão]]-Tabela2[[#This Row],[SLA Atendimento]]</f>
        <v>#VALUE!</v>
      </c>
      <c r="L315" s="11"/>
      <c r="O315" s="1" t="s">
        <v>30</v>
      </c>
      <c r="P315" s="2">
        <f>Tabela2[[#This Row],[Proposta
 Inicial]]-Tabela2[[#This Row],[Proposta
 Negociada]]</f>
        <v>0</v>
      </c>
      <c r="Q315" s="4" t="e">
        <f>Tabela2[[#This Row],[Proposta
 Negociada]]/Tabela2[[#This Row],[Proposta
 Inicial]]-1</f>
        <v>#DIV/0!</v>
      </c>
      <c r="S315"/>
    </row>
    <row r="316" spans="1:19" ht="14.45">
      <c r="A316" s="9"/>
      <c r="B316" s="9"/>
      <c r="C316" s="1" t="str">
        <f t="shared" si="10"/>
        <v/>
      </c>
      <c r="I316" s="1" t="str">
        <f>IFERROR(VLOOKUP(H316,SLA_Ref!$A$1:$B$8,2,FALSE),"")</f>
        <v/>
      </c>
      <c r="J316" s="1" t="str">
        <f t="shared" ca="1" si="11"/>
        <v/>
      </c>
      <c r="K316" s="11" t="e">
        <f>Tabela2[[#This Row],[SLA
Padrão]]-Tabela2[[#This Row],[SLA Atendimento]]</f>
        <v>#VALUE!</v>
      </c>
      <c r="L316" s="11"/>
      <c r="O316" s="1" t="s">
        <v>30</v>
      </c>
      <c r="P316" s="2">
        <f>Tabela2[[#This Row],[Proposta
 Inicial]]-Tabela2[[#This Row],[Proposta
 Negociada]]</f>
        <v>0</v>
      </c>
      <c r="Q316" s="4" t="e">
        <f>Tabela2[[#This Row],[Proposta
 Negociada]]/Tabela2[[#This Row],[Proposta
 Inicial]]-1</f>
        <v>#DIV/0!</v>
      </c>
      <c r="S316"/>
    </row>
    <row r="317" spans="1:19" ht="14.45">
      <c r="A317" s="9"/>
      <c r="B317" s="9"/>
      <c r="C317" s="1" t="str">
        <f t="shared" si="10"/>
        <v/>
      </c>
      <c r="I317" s="1" t="str">
        <f>IFERROR(VLOOKUP(H317,SLA_Ref!$A$1:$B$8,2,FALSE),"")</f>
        <v/>
      </c>
      <c r="J317" s="1" t="str">
        <f t="shared" ca="1" si="11"/>
        <v/>
      </c>
      <c r="K317" s="11" t="e">
        <f>Tabela2[[#This Row],[SLA
Padrão]]-Tabela2[[#This Row],[SLA Atendimento]]</f>
        <v>#VALUE!</v>
      </c>
      <c r="L317" s="11"/>
      <c r="O317" s="1" t="s">
        <v>30</v>
      </c>
      <c r="P317" s="2">
        <f>Tabela2[[#This Row],[Proposta
 Inicial]]-Tabela2[[#This Row],[Proposta
 Negociada]]</f>
        <v>0</v>
      </c>
      <c r="Q317" s="4" t="e">
        <f>Tabela2[[#This Row],[Proposta
 Negociada]]/Tabela2[[#This Row],[Proposta
 Inicial]]-1</f>
        <v>#DIV/0!</v>
      </c>
      <c r="S317"/>
    </row>
    <row r="318" spans="1:19" ht="14.45">
      <c r="A318" s="9"/>
      <c r="B318" s="9"/>
      <c r="C318" s="1" t="str">
        <f t="shared" si="10"/>
        <v/>
      </c>
      <c r="I318" s="1" t="str">
        <f>IFERROR(VLOOKUP(H318,SLA_Ref!$A$1:$B$8,2,FALSE),"")</f>
        <v/>
      </c>
      <c r="J318" s="1" t="str">
        <f t="shared" ca="1" si="11"/>
        <v/>
      </c>
      <c r="K318" s="11" t="e">
        <f>Tabela2[[#This Row],[SLA
Padrão]]-Tabela2[[#This Row],[SLA Atendimento]]</f>
        <v>#VALUE!</v>
      </c>
      <c r="L318" s="11"/>
      <c r="O318" s="1" t="s">
        <v>30</v>
      </c>
      <c r="P318" s="2">
        <f>Tabela2[[#This Row],[Proposta
 Inicial]]-Tabela2[[#This Row],[Proposta
 Negociada]]</f>
        <v>0</v>
      </c>
      <c r="Q318" s="4" t="e">
        <f>Tabela2[[#This Row],[Proposta
 Negociada]]/Tabela2[[#This Row],[Proposta
 Inicial]]-1</f>
        <v>#DIV/0!</v>
      </c>
      <c r="S318"/>
    </row>
    <row r="319" spans="1:19" ht="14.45">
      <c r="A319" s="9"/>
      <c r="B319" s="9"/>
      <c r="C319" s="1" t="str">
        <f t="shared" si="10"/>
        <v/>
      </c>
      <c r="I319" s="1" t="str">
        <f>IFERROR(VLOOKUP(H319,SLA_Ref!$A$1:$B$8,2,FALSE),"")</f>
        <v/>
      </c>
      <c r="J319" s="1" t="str">
        <f t="shared" ca="1" si="11"/>
        <v/>
      </c>
      <c r="K319" s="11" t="e">
        <f>Tabela2[[#This Row],[SLA
Padrão]]-Tabela2[[#This Row],[SLA Atendimento]]</f>
        <v>#VALUE!</v>
      </c>
      <c r="L319" s="11"/>
      <c r="O319" s="1" t="s">
        <v>30</v>
      </c>
      <c r="P319" s="2">
        <f>Tabela2[[#This Row],[Proposta
 Inicial]]-Tabela2[[#This Row],[Proposta
 Negociada]]</f>
        <v>0</v>
      </c>
      <c r="Q319" s="4" t="e">
        <f>Tabela2[[#This Row],[Proposta
 Negociada]]/Tabela2[[#This Row],[Proposta
 Inicial]]-1</f>
        <v>#DIV/0!</v>
      </c>
      <c r="S319"/>
    </row>
    <row r="320" spans="1:19" ht="14.45">
      <c r="A320" s="9"/>
      <c r="B320" s="9"/>
      <c r="C320" s="1" t="str">
        <f t="shared" si="10"/>
        <v/>
      </c>
      <c r="I320" s="1" t="str">
        <f>IFERROR(VLOOKUP(H320,SLA_Ref!$A$1:$B$8,2,FALSE),"")</f>
        <v/>
      </c>
      <c r="J320" s="1" t="str">
        <f t="shared" ca="1" si="11"/>
        <v/>
      </c>
      <c r="K320" s="11" t="e">
        <f>Tabela2[[#This Row],[SLA
Padrão]]-Tabela2[[#This Row],[SLA Atendimento]]</f>
        <v>#VALUE!</v>
      </c>
      <c r="L320" s="11"/>
      <c r="O320" s="1" t="s">
        <v>30</v>
      </c>
      <c r="P320" s="2">
        <f>Tabela2[[#This Row],[Proposta
 Inicial]]-Tabela2[[#This Row],[Proposta
 Negociada]]</f>
        <v>0</v>
      </c>
      <c r="Q320" s="4" t="e">
        <f>Tabela2[[#This Row],[Proposta
 Negociada]]/Tabela2[[#This Row],[Proposta
 Inicial]]-1</f>
        <v>#DIV/0!</v>
      </c>
      <c r="S320"/>
    </row>
    <row r="321" spans="1:19" ht="14.45">
      <c r="A321" s="9"/>
      <c r="B321" s="9"/>
      <c r="C321" s="1" t="str">
        <f t="shared" si="10"/>
        <v/>
      </c>
      <c r="I321" s="1" t="str">
        <f>IFERROR(VLOOKUP(H321,SLA_Ref!$A$1:$B$8,2,FALSE),"")</f>
        <v/>
      </c>
      <c r="J321" s="1" t="str">
        <f t="shared" ca="1" si="11"/>
        <v/>
      </c>
      <c r="K321" s="11" t="e">
        <f>Tabela2[[#This Row],[SLA
Padrão]]-Tabela2[[#This Row],[SLA Atendimento]]</f>
        <v>#VALUE!</v>
      </c>
      <c r="L321" s="11"/>
      <c r="O321" s="1" t="s">
        <v>30</v>
      </c>
      <c r="P321" s="2">
        <f>Tabela2[[#This Row],[Proposta
 Inicial]]-Tabela2[[#This Row],[Proposta
 Negociada]]</f>
        <v>0</v>
      </c>
      <c r="Q321" s="4" t="e">
        <f>Tabela2[[#This Row],[Proposta
 Negociada]]/Tabela2[[#This Row],[Proposta
 Inicial]]-1</f>
        <v>#DIV/0!</v>
      </c>
      <c r="S321"/>
    </row>
    <row r="322" spans="1:19" ht="14.45">
      <c r="A322" s="9"/>
      <c r="B322" s="9"/>
      <c r="C322" s="1" t="str">
        <f t="shared" si="10"/>
        <v/>
      </c>
      <c r="I322" s="1" t="str">
        <f>IFERROR(VLOOKUP(H322,SLA_Ref!$A$1:$B$8,2,FALSE),"")</f>
        <v/>
      </c>
      <c r="J322" s="1" t="str">
        <f t="shared" ca="1" si="11"/>
        <v/>
      </c>
      <c r="K322" s="11" t="e">
        <f>Tabela2[[#This Row],[SLA
Padrão]]-Tabela2[[#This Row],[SLA Atendimento]]</f>
        <v>#VALUE!</v>
      </c>
      <c r="L322" s="11"/>
      <c r="O322" s="1" t="s">
        <v>30</v>
      </c>
      <c r="P322" s="2">
        <f>Tabela2[[#This Row],[Proposta
 Inicial]]-Tabela2[[#This Row],[Proposta
 Negociada]]</f>
        <v>0</v>
      </c>
      <c r="Q322" s="4" t="e">
        <f>Tabela2[[#This Row],[Proposta
 Negociada]]/Tabela2[[#This Row],[Proposta
 Inicial]]-1</f>
        <v>#DIV/0!</v>
      </c>
      <c r="S322"/>
    </row>
    <row r="323" spans="1:19" ht="14.45">
      <c r="A323" s="9"/>
      <c r="B323" s="9"/>
      <c r="C323" s="1" t="str">
        <f t="shared" ref="C323:C386" si="12">IF(OR(A323="",B323=""),"",B323-A323)</f>
        <v/>
      </c>
      <c r="I323" s="1" t="str">
        <f>IFERROR(VLOOKUP(H323,SLA_Ref!$A$1:$B$8,2,FALSE),"")</f>
        <v/>
      </c>
      <c r="J323" s="1" t="str">
        <f t="shared" ca="1" si="11"/>
        <v/>
      </c>
      <c r="K323" s="11" t="e">
        <f>Tabela2[[#This Row],[SLA
Padrão]]-Tabela2[[#This Row],[SLA Atendimento]]</f>
        <v>#VALUE!</v>
      </c>
      <c r="L323" s="11"/>
      <c r="O323" s="1" t="s">
        <v>30</v>
      </c>
      <c r="P323" s="2">
        <f>Tabela2[[#This Row],[Proposta
 Inicial]]-Tabela2[[#This Row],[Proposta
 Negociada]]</f>
        <v>0</v>
      </c>
      <c r="Q323" s="4" t="e">
        <f>Tabela2[[#This Row],[Proposta
 Negociada]]/Tabela2[[#This Row],[Proposta
 Inicial]]-1</f>
        <v>#DIV/0!</v>
      </c>
      <c r="S323"/>
    </row>
    <row r="324" spans="1:19" ht="14.45">
      <c r="A324" s="9"/>
      <c r="B324" s="9"/>
      <c r="C324" s="1" t="str">
        <f t="shared" si="12"/>
        <v/>
      </c>
      <c r="I324" s="1" t="str">
        <f>IFERROR(VLOOKUP(H324,SLA_Ref!$A$1:$B$8,2,FALSE),"")</f>
        <v/>
      </c>
      <c r="J324" s="1" t="str">
        <f t="shared" ca="1" si="11"/>
        <v/>
      </c>
      <c r="K324" s="11" t="e">
        <f>Tabela2[[#This Row],[SLA
Padrão]]-Tabela2[[#This Row],[SLA Atendimento]]</f>
        <v>#VALUE!</v>
      </c>
      <c r="L324" s="11"/>
      <c r="O324" s="1" t="s">
        <v>30</v>
      </c>
      <c r="P324" s="2">
        <f>Tabela2[[#This Row],[Proposta
 Inicial]]-Tabela2[[#This Row],[Proposta
 Negociada]]</f>
        <v>0</v>
      </c>
      <c r="Q324" s="4" t="e">
        <f>Tabela2[[#This Row],[Proposta
 Negociada]]/Tabela2[[#This Row],[Proposta
 Inicial]]-1</f>
        <v>#DIV/0!</v>
      </c>
      <c r="S324"/>
    </row>
    <row r="325" spans="1:19" ht="14.45">
      <c r="A325" s="9"/>
      <c r="B325" s="9"/>
      <c r="C325" s="1" t="str">
        <f t="shared" si="12"/>
        <v/>
      </c>
      <c r="I325" s="1" t="str">
        <f>IFERROR(VLOOKUP(H325,SLA_Ref!$A$1:$B$8,2,FALSE),"")</f>
        <v/>
      </c>
      <c r="J325" s="1" t="str">
        <f t="shared" ca="1" si="11"/>
        <v/>
      </c>
      <c r="K325" s="11" t="e">
        <f>Tabela2[[#This Row],[SLA
Padrão]]-Tabela2[[#This Row],[SLA Atendimento]]</f>
        <v>#VALUE!</v>
      </c>
      <c r="L325" s="11"/>
      <c r="O325" s="1" t="s">
        <v>30</v>
      </c>
      <c r="P325" s="2">
        <f>Tabela2[[#This Row],[Proposta
 Inicial]]-Tabela2[[#This Row],[Proposta
 Negociada]]</f>
        <v>0</v>
      </c>
      <c r="Q325" s="4" t="e">
        <f>Tabela2[[#This Row],[Proposta
 Negociada]]/Tabela2[[#This Row],[Proposta
 Inicial]]-1</f>
        <v>#DIV/0!</v>
      </c>
      <c r="S325"/>
    </row>
    <row r="326" spans="1:19" ht="14.45">
      <c r="A326" s="9"/>
      <c r="B326" s="9"/>
      <c r="C326" s="1" t="str">
        <f t="shared" si="12"/>
        <v/>
      </c>
      <c r="I326" s="1" t="str">
        <f>IFERROR(VLOOKUP(H326,SLA_Ref!$A$1:$B$8,2,FALSE),"")</f>
        <v/>
      </c>
      <c r="J326" s="1" t="str">
        <f t="shared" ca="1" si="11"/>
        <v/>
      </c>
      <c r="K326" s="11" t="e">
        <f>Tabela2[[#This Row],[SLA
Padrão]]-Tabela2[[#This Row],[SLA Atendimento]]</f>
        <v>#VALUE!</v>
      </c>
      <c r="L326" s="11"/>
      <c r="O326" s="1" t="s">
        <v>30</v>
      </c>
      <c r="P326" s="2">
        <f>Tabela2[[#This Row],[Proposta
 Inicial]]-Tabela2[[#This Row],[Proposta
 Negociada]]</f>
        <v>0</v>
      </c>
      <c r="Q326" s="4" t="e">
        <f>Tabela2[[#This Row],[Proposta
 Negociada]]/Tabela2[[#This Row],[Proposta
 Inicial]]-1</f>
        <v>#DIV/0!</v>
      </c>
      <c r="S326"/>
    </row>
    <row r="327" spans="1:19" ht="14.45">
      <c r="A327" s="9"/>
      <c r="B327" s="9"/>
      <c r="C327" s="1" t="str">
        <f t="shared" si="12"/>
        <v/>
      </c>
      <c r="I327" s="1" t="str">
        <f>IFERROR(VLOOKUP(H327,SLA_Ref!$A$1:$B$8,2,FALSE),"")</f>
        <v/>
      </c>
      <c r="J327" s="1" t="str">
        <f t="shared" ca="1" si="11"/>
        <v/>
      </c>
      <c r="K327" s="11" t="e">
        <f>Tabela2[[#This Row],[SLA
Padrão]]-Tabela2[[#This Row],[SLA Atendimento]]</f>
        <v>#VALUE!</v>
      </c>
      <c r="L327" s="11"/>
      <c r="O327" s="1" t="s">
        <v>30</v>
      </c>
      <c r="P327" s="2">
        <f>Tabela2[[#This Row],[Proposta
 Inicial]]-Tabela2[[#This Row],[Proposta
 Negociada]]</f>
        <v>0</v>
      </c>
      <c r="Q327" s="4" t="e">
        <f>Tabela2[[#This Row],[Proposta
 Negociada]]/Tabela2[[#This Row],[Proposta
 Inicial]]-1</f>
        <v>#DIV/0!</v>
      </c>
      <c r="S327"/>
    </row>
    <row r="328" spans="1:19" ht="14.45">
      <c r="A328" s="9"/>
      <c r="B328" s="9"/>
      <c r="C328" s="1" t="str">
        <f t="shared" si="12"/>
        <v/>
      </c>
      <c r="I328" s="1" t="str">
        <f>IFERROR(VLOOKUP(H328,SLA_Ref!$A$1:$B$8,2,FALSE),"")</f>
        <v/>
      </c>
      <c r="J328" s="1" t="str">
        <f t="shared" ca="1" si="11"/>
        <v/>
      </c>
      <c r="K328" s="11" t="e">
        <f>Tabela2[[#This Row],[SLA
Padrão]]-Tabela2[[#This Row],[SLA Atendimento]]</f>
        <v>#VALUE!</v>
      </c>
      <c r="L328" s="11"/>
      <c r="O328" s="1" t="s">
        <v>30</v>
      </c>
      <c r="P328" s="2">
        <f>Tabela2[[#This Row],[Proposta
 Inicial]]-Tabela2[[#This Row],[Proposta
 Negociada]]</f>
        <v>0</v>
      </c>
      <c r="Q328" s="4" t="e">
        <f>Tabela2[[#This Row],[Proposta
 Negociada]]/Tabela2[[#This Row],[Proposta
 Inicial]]-1</f>
        <v>#DIV/0!</v>
      </c>
      <c r="S328"/>
    </row>
    <row r="329" spans="1:19" ht="14.45">
      <c r="A329" s="9"/>
      <c r="B329" s="9"/>
      <c r="C329" s="1" t="str">
        <f t="shared" si="12"/>
        <v/>
      </c>
      <c r="I329" s="1" t="str">
        <f>IFERROR(VLOOKUP(H329,SLA_Ref!$A$1:$B$8,2,FALSE),"")</f>
        <v/>
      </c>
      <c r="J329" s="1" t="str">
        <f t="shared" ca="1" si="11"/>
        <v/>
      </c>
      <c r="K329" s="11" t="e">
        <f>Tabela2[[#This Row],[SLA
Padrão]]-Tabela2[[#This Row],[SLA Atendimento]]</f>
        <v>#VALUE!</v>
      </c>
      <c r="L329" s="11"/>
      <c r="O329" s="1" t="s">
        <v>30</v>
      </c>
      <c r="P329" s="2">
        <f>Tabela2[[#This Row],[Proposta
 Inicial]]-Tabela2[[#This Row],[Proposta
 Negociada]]</f>
        <v>0</v>
      </c>
      <c r="Q329" s="4" t="e">
        <f>Tabela2[[#This Row],[Proposta
 Negociada]]/Tabela2[[#This Row],[Proposta
 Inicial]]-1</f>
        <v>#DIV/0!</v>
      </c>
      <c r="S329"/>
    </row>
    <row r="330" spans="1:19" ht="14.45">
      <c r="A330" s="9"/>
      <c r="B330" s="9"/>
      <c r="C330" s="1" t="str">
        <f t="shared" si="12"/>
        <v/>
      </c>
      <c r="I330" s="1" t="str">
        <f>IFERROR(VLOOKUP(H330,SLA_Ref!$A$1:$B$8,2,FALSE),"")</f>
        <v/>
      </c>
      <c r="J330" s="1" t="str">
        <f t="shared" ca="1" si="11"/>
        <v/>
      </c>
      <c r="K330" s="11" t="e">
        <f>Tabela2[[#This Row],[SLA
Padrão]]-Tabela2[[#This Row],[SLA Atendimento]]</f>
        <v>#VALUE!</v>
      </c>
      <c r="L330" s="11"/>
      <c r="O330" s="1" t="s">
        <v>30</v>
      </c>
      <c r="P330" s="2">
        <f>Tabela2[[#This Row],[Proposta
 Inicial]]-Tabela2[[#This Row],[Proposta
 Negociada]]</f>
        <v>0</v>
      </c>
      <c r="Q330" s="4" t="e">
        <f>Tabela2[[#This Row],[Proposta
 Negociada]]/Tabela2[[#This Row],[Proposta
 Inicial]]-1</f>
        <v>#DIV/0!</v>
      </c>
      <c r="S330"/>
    </row>
    <row r="331" spans="1:19" ht="14.45">
      <c r="A331" s="9"/>
      <c r="B331" s="9"/>
      <c r="C331" s="1" t="str">
        <f t="shared" si="12"/>
        <v/>
      </c>
      <c r="I331" s="1" t="str">
        <f>IFERROR(VLOOKUP(H331,SLA_Ref!$A$1:$B$8,2,FALSE),"")</f>
        <v/>
      </c>
      <c r="J331" s="1" t="str">
        <f t="shared" ca="1" si="11"/>
        <v/>
      </c>
      <c r="K331" s="11" t="e">
        <f>Tabela2[[#This Row],[SLA
Padrão]]-Tabela2[[#This Row],[SLA Atendimento]]</f>
        <v>#VALUE!</v>
      </c>
      <c r="L331" s="11"/>
      <c r="O331" s="1" t="s">
        <v>30</v>
      </c>
      <c r="P331" s="2">
        <f>Tabela2[[#This Row],[Proposta
 Inicial]]-Tabela2[[#This Row],[Proposta
 Negociada]]</f>
        <v>0</v>
      </c>
      <c r="Q331" s="4" t="e">
        <f>Tabela2[[#This Row],[Proposta
 Negociada]]/Tabela2[[#This Row],[Proposta
 Inicial]]-1</f>
        <v>#DIV/0!</v>
      </c>
      <c r="S331"/>
    </row>
    <row r="332" spans="1:19" ht="14.45">
      <c r="A332" s="9"/>
      <c r="B332" s="9"/>
      <c r="C332" s="1" t="str">
        <f t="shared" si="12"/>
        <v/>
      </c>
      <c r="I332" s="1" t="str">
        <f>IFERROR(VLOOKUP(H332,SLA_Ref!$A$1:$B$8,2,FALSE),"")</f>
        <v/>
      </c>
      <c r="J332" s="1" t="str">
        <f t="shared" ca="1" si="11"/>
        <v/>
      </c>
      <c r="K332" s="11" t="e">
        <f>Tabela2[[#This Row],[SLA
Padrão]]-Tabela2[[#This Row],[SLA Atendimento]]</f>
        <v>#VALUE!</v>
      </c>
      <c r="L332" s="11"/>
      <c r="O332" s="1" t="s">
        <v>30</v>
      </c>
      <c r="P332" s="2">
        <f>Tabela2[[#This Row],[Proposta
 Inicial]]-Tabela2[[#This Row],[Proposta
 Negociada]]</f>
        <v>0</v>
      </c>
      <c r="Q332" s="4" t="e">
        <f>Tabela2[[#This Row],[Proposta
 Negociada]]/Tabela2[[#This Row],[Proposta
 Inicial]]-1</f>
        <v>#DIV/0!</v>
      </c>
      <c r="S332"/>
    </row>
    <row r="333" spans="1:19" ht="14.45">
      <c r="A333" s="9"/>
      <c r="B333" s="9"/>
      <c r="C333" s="1" t="str">
        <f t="shared" si="12"/>
        <v/>
      </c>
      <c r="I333" s="1" t="str">
        <f>IFERROR(VLOOKUP(H333,SLA_Ref!$A$1:$B$8,2,FALSE),"")</f>
        <v/>
      </c>
      <c r="J333" s="1" t="str">
        <f t="shared" ca="1" si="11"/>
        <v/>
      </c>
      <c r="K333" s="11" t="e">
        <f>Tabela2[[#This Row],[SLA
Padrão]]-Tabela2[[#This Row],[SLA Atendimento]]</f>
        <v>#VALUE!</v>
      </c>
      <c r="L333" s="11"/>
      <c r="O333" s="1" t="s">
        <v>30</v>
      </c>
      <c r="P333" s="2">
        <f>Tabela2[[#This Row],[Proposta
 Inicial]]-Tabela2[[#This Row],[Proposta
 Negociada]]</f>
        <v>0</v>
      </c>
      <c r="Q333" s="4" t="e">
        <f>Tabela2[[#This Row],[Proposta
 Negociada]]/Tabela2[[#This Row],[Proposta
 Inicial]]-1</f>
        <v>#DIV/0!</v>
      </c>
      <c r="S333"/>
    </row>
    <row r="334" spans="1:19" ht="14.45">
      <c r="A334" s="9"/>
      <c r="B334" s="9"/>
      <c r="C334" s="1" t="str">
        <f t="shared" si="12"/>
        <v/>
      </c>
      <c r="I334" s="1" t="str">
        <f>IFERROR(VLOOKUP(H334,SLA_Ref!$A$1:$B$8,2,FALSE),"")</f>
        <v/>
      </c>
      <c r="J334" s="1" t="str">
        <f t="shared" ca="1" si="11"/>
        <v/>
      </c>
      <c r="K334" s="11" t="e">
        <f>Tabela2[[#This Row],[SLA
Padrão]]-Tabela2[[#This Row],[SLA Atendimento]]</f>
        <v>#VALUE!</v>
      </c>
      <c r="L334" s="11"/>
      <c r="O334" s="1" t="s">
        <v>30</v>
      </c>
      <c r="P334" s="2">
        <f>Tabela2[[#This Row],[Proposta
 Inicial]]-Tabela2[[#This Row],[Proposta
 Negociada]]</f>
        <v>0</v>
      </c>
      <c r="Q334" s="4" t="e">
        <f>Tabela2[[#This Row],[Proposta
 Negociada]]/Tabela2[[#This Row],[Proposta
 Inicial]]-1</f>
        <v>#DIV/0!</v>
      </c>
      <c r="S334"/>
    </row>
    <row r="335" spans="1:19" ht="14.45">
      <c r="A335" s="9"/>
      <c r="B335" s="9"/>
      <c r="C335" s="1" t="str">
        <f t="shared" si="12"/>
        <v/>
      </c>
      <c r="I335" s="1" t="str">
        <f>IFERROR(VLOOKUP(H335,SLA_Ref!$A$1:$B$8,2,FALSE),"")</f>
        <v/>
      </c>
      <c r="J335" s="1" t="str">
        <f t="shared" ca="1" si="11"/>
        <v/>
      </c>
      <c r="K335" s="11" t="e">
        <f>Tabela2[[#This Row],[SLA
Padrão]]-Tabela2[[#This Row],[SLA Atendimento]]</f>
        <v>#VALUE!</v>
      </c>
      <c r="L335" s="11"/>
      <c r="O335" s="1" t="s">
        <v>30</v>
      </c>
      <c r="P335" s="2">
        <f>Tabela2[[#This Row],[Proposta
 Inicial]]-Tabela2[[#This Row],[Proposta
 Negociada]]</f>
        <v>0</v>
      </c>
      <c r="Q335" s="4" t="e">
        <f>Tabela2[[#This Row],[Proposta
 Negociada]]/Tabela2[[#This Row],[Proposta
 Inicial]]-1</f>
        <v>#DIV/0!</v>
      </c>
      <c r="S335"/>
    </row>
    <row r="336" spans="1:19" ht="14.45">
      <c r="A336" s="9"/>
      <c r="B336" s="9"/>
      <c r="C336" s="1" t="str">
        <f t="shared" si="12"/>
        <v/>
      </c>
      <c r="I336" s="1" t="str">
        <f>IFERROR(VLOOKUP(H336,SLA_Ref!$A$1:$B$8,2,FALSE),"")</f>
        <v/>
      </c>
      <c r="J336" s="1" t="str">
        <f t="shared" ca="1" si="11"/>
        <v/>
      </c>
      <c r="K336" s="11" t="e">
        <f>Tabela2[[#This Row],[SLA
Padrão]]-Tabela2[[#This Row],[SLA Atendimento]]</f>
        <v>#VALUE!</v>
      </c>
      <c r="L336" s="11"/>
      <c r="O336" s="1" t="s">
        <v>30</v>
      </c>
      <c r="P336" s="2">
        <f>Tabela2[[#This Row],[Proposta
 Inicial]]-Tabela2[[#This Row],[Proposta
 Negociada]]</f>
        <v>0</v>
      </c>
      <c r="Q336" s="4" t="e">
        <f>Tabela2[[#This Row],[Proposta
 Negociada]]/Tabela2[[#This Row],[Proposta
 Inicial]]-1</f>
        <v>#DIV/0!</v>
      </c>
      <c r="S336"/>
    </row>
    <row r="337" spans="1:19" ht="14.45">
      <c r="A337" s="9"/>
      <c r="B337" s="9"/>
      <c r="C337" s="1" t="str">
        <f t="shared" si="12"/>
        <v/>
      </c>
      <c r="I337" s="1" t="str">
        <f>IFERROR(VLOOKUP(H337,SLA_Ref!$A$1:$B$8,2,FALSE),"")</f>
        <v/>
      </c>
      <c r="J337" s="1" t="str">
        <f t="shared" ca="1" si="11"/>
        <v/>
      </c>
      <c r="K337" s="11" t="e">
        <f>Tabela2[[#This Row],[SLA
Padrão]]-Tabela2[[#This Row],[SLA Atendimento]]</f>
        <v>#VALUE!</v>
      </c>
      <c r="L337" s="11"/>
      <c r="O337" s="1" t="s">
        <v>30</v>
      </c>
      <c r="P337" s="2">
        <f>Tabela2[[#This Row],[Proposta
 Inicial]]-Tabela2[[#This Row],[Proposta
 Negociada]]</f>
        <v>0</v>
      </c>
      <c r="Q337" s="4" t="e">
        <f>Tabela2[[#This Row],[Proposta
 Negociada]]/Tabela2[[#This Row],[Proposta
 Inicial]]-1</f>
        <v>#DIV/0!</v>
      </c>
      <c r="S337"/>
    </row>
    <row r="338" spans="1:19" ht="14.45">
      <c r="A338" s="9"/>
      <c r="B338" s="9"/>
      <c r="C338" s="1" t="str">
        <f t="shared" si="12"/>
        <v/>
      </c>
      <c r="I338" s="1" t="str">
        <f>IFERROR(VLOOKUP(H338,SLA_Ref!$A$1:$B$8,2,FALSE),"")</f>
        <v/>
      </c>
      <c r="J338" s="1" t="str">
        <f t="shared" ca="1" si="11"/>
        <v/>
      </c>
      <c r="K338" s="11" t="e">
        <f>Tabela2[[#This Row],[SLA
Padrão]]-Tabela2[[#This Row],[SLA Atendimento]]</f>
        <v>#VALUE!</v>
      </c>
      <c r="L338" s="11"/>
      <c r="O338" s="1" t="s">
        <v>30</v>
      </c>
      <c r="P338" s="2">
        <f>Tabela2[[#This Row],[Proposta
 Inicial]]-Tabela2[[#This Row],[Proposta
 Negociada]]</f>
        <v>0</v>
      </c>
      <c r="Q338" s="4" t="e">
        <f>Tabela2[[#This Row],[Proposta
 Negociada]]/Tabela2[[#This Row],[Proposta
 Inicial]]-1</f>
        <v>#DIV/0!</v>
      </c>
      <c r="S338"/>
    </row>
    <row r="339" spans="1:19" ht="14.45">
      <c r="A339" s="9"/>
      <c r="B339" s="9"/>
      <c r="C339" s="1" t="str">
        <f t="shared" si="12"/>
        <v/>
      </c>
      <c r="I339" s="1" t="str">
        <f>IFERROR(VLOOKUP(H339,SLA_Ref!$A$1:$B$8,2,FALSE),"")</f>
        <v/>
      </c>
      <c r="J339" s="1" t="str">
        <f t="shared" ca="1" si="11"/>
        <v/>
      </c>
      <c r="K339" s="11" t="e">
        <f>Tabela2[[#This Row],[SLA
Padrão]]-Tabela2[[#This Row],[SLA Atendimento]]</f>
        <v>#VALUE!</v>
      </c>
      <c r="L339" s="11"/>
      <c r="O339" s="1" t="s">
        <v>30</v>
      </c>
      <c r="P339" s="2">
        <f>Tabela2[[#This Row],[Proposta
 Inicial]]-Tabela2[[#This Row],[Proposta
 Negociada]]</f>
        <v>0</v>
      </c>
      <c r="Q339" s="4" t="e">
        <f>Tabela2[[#This Row],[Proposta
 Negociada]]/Tabela2[[#This Row],[Proposta
 Inicial]]-1</f>
        <v>#DIV/0!</v>
      </c>
      <c r="S339"/>
    </row>
    <row r="340" spans="1:19" ht="14.45">
      <c r="A340" s="9"/>
      <c r="B340" s="9"/>
      <c r="C340" s="1" t="str">
        <f t="shared" si="12"/>
        <v/>
      </c>
      <c r="I340" s="1" t="str">
        <f>IFERROR(VLOOKUP(H340,SLA_Ref!$A$1:$B$8,2,FALSE),"")</f>
        <v/>
      </c>
      <c r="J340" s="1" t="str">
        <f t="shared" ca="1" si="11"/>
        <v/>
      </c>
      <c r="K340" s="11" t="e">
        <f>Tabela2[[#This Row],[SLA
Padrão]]-Tabela2[[#This Row],[SLA Atendimento]]</f>
        <v>#VALUE!</v>
      </c>
      <c r="L340" s="11"/>
      <c r="O340" s="1" t="s">
        <v>30</v>
      </c>
      <c r="P340" s="2">
        <f>Tabela2[[#This Row],[Proposta
 Inicial]]-Tabela2[[#This Row],[Proposta
 Negociada]]</f>
        <v>0</v>
      </c>
      <c r="Q340" s="4" t="e">
        <f>Tabela2[[#This Row],[Proposta
 Negociada]]/Tabela2[[#This Row],[Proposta
 Inicial]]-1</f>
        <v>#DIV/0!</v>
      </c>
      <c r="S340"/>
    </row>
    <row r="341" spans="1:19" ht="14.45">
      <c r="A341" s="9"/>
      <c r="B341" s="9"/>
      <c r="C341" s="1" t="str">
        <f t="shared" si="12"/>
        <v/>
      </c>
      <c r="I341" s="1" t="str">
        <f>IFERROR(VLOOKUP(H341,SLA_Ref!$A$1:$B$8,2,FALSE),"")</f>
        <v/>
      </c>
      <c r="J341" s="1" t="str">
        <f t="shared" ca="1" si="11"/>
        <v/>
      </c>
      <c r="K341" s="11" t="e">
        <f>Tabela2[[#This Row],[SLA
Padrão]]-Tabela2[[#This Row],[SLA Atendimento]]</f>
        <v>#VALUE!</v>
      </c>
      <c r="L341" s="11"/>
      <c r="O341" s="1" t="s">
        <v>30</v>
      </c>
      <c r="P341" s="2">
        <f>Tabela2[[#This Row],[Proposta
 Inicial]]-Tabela2[[#This Row],[Proposta
 Negociada]]</f>
        <v>0</v>
      </c>
      <c r="Q341" s="4" t="e">
        <f>Tabela2[[#This Row],[Proposta
 Negociada]]/Tabela2[[#This Row],[Proposta
 Inicial]]-1</f>
        <v>#DIV/0!</v>
      </c>
      <c r="S341"/>
    </row>
    <row r="342" spans="1:19" ht="14.45">
      <c r="A342" s="9"/>
      <c r="B342" s="9"/>
      <c r="C342" s="1" t="str">
        <f t="shared" si="12"/>
        <v/>
      </c>
      <c r="I342" s="1" t="str">
        <f>IFERROR(VLOOKUP(H342,SLA_Ref!$A$1:$B$8,2,FALSE),"")</f>
        <v/>
      </c>
      <c r="J342" s="1" t="str">
        <f t="shared" ca="1" si="11"/>
        <v/>
      </c>
      <c r="K342" s="11" t="e">
        <f>Tabela2[[#This Row],[SLA
Padrão]]-Tabela2[[#This Row],[SLA Atendimento]]</f>
        <v>#VALUE!</v>
      </c>
      <c r="L342" s="11"/>
      <c r="O342" s="1" t="s">
        <v>30</v>
      </c>
      <c r="P342" s="2">
        <f>Tabela2[[#This Row],[Proposta
 Inicial]]-Tabela2[[#This Row],[Proposta
 Negociada]]</f>
        <v>0</v>
      </c>
      <c r="Q342" s="4" t="e">
        <f>Tabela2[[#This Row],[Proposta
 Negociada]]/Tabela2[[#This Row],[Proposta
 Inicial]]-1</f>
        <v>#DIV/0!</v>
      </c>
      <c r="S342"/>
    </row>
    <row r="343" spans="1:19" ht="14.45">
      <c r="A343" s="9"/>
      <c r="B343" s="9"/>
      <c r="C343" s="1" t="str">
        <f t="shared" si="12"/>
        <v/>
      </c>
      <c r="I343" s="1" t="str">
        <f>IFERROR(VLOOKUP(H343,SLA_Ref!$A$1:$B$8,2,FALSE),"")</f>
        <v/>
      </c>
      <c r="J343" s="1" t="str">
        <f t="shared" ca="1" si="11"/>
        <v/>
      </c>
      <c r="K343" s="11" t="e">
        <f>Tabela2[[#This Row],[SLA
Padrão]]-Tabela2[[#This Row],[SLA Atendimento]]</f>
        <v>#VALUE!</v>
      </c>
      <c r="L343" s="11"/>
      <c r="O343" s="1" t="s">
        <v>30</v>
      </c>
      <c r="P343" s="2">
        <f>Tabela2[[#This Row],[Proposta
 Inicial]]-Tabela2[[#This Row],[Proposta
 Negociada]]</f>
        <v>0</v>
      </c>
      <c r="Q343" s="4" t="e">
        <f>Tabela2[[#This Row],[Proposta
 Negociada]]/Tabela2[[#This Row],[Proposta
 Inicial]]-1</f>
        <v>#DIV/0!</v>
      </c>
      <c r="S343"/>
    </row>
    <row r="344" spans="1:19" ht="14.45">
      <c r="A344" s="9"/>
      <c r="B344" s="9"/>
      <c r="C344" s="1" t="str">
        <f t="shared" si="12"/>
        <v/>
      </c>
      <c r="I344" s="1" t="str">
        <f>IFERROR(VLOOKUP(H344,SLA_Ref!$A$1:$B$8,2,FALSE),"")</f>
        <v/>
      </c>
      <c r="J344" s="1" t="str">
        <f t="shared" ca="1" si="11"/>
        <v/>
      </c>
      <c r="K344" s="11" t="e">
        <f>Tabela2[[#This Row],[SLA
Padrão]]-Tabela2[[#This Row],[SLA Atendimento]]</f>
        <v>#VALUE!</v>
      </c>
      <c r="L344" s="11"/>
      <c r="O344" s="1" t="s">
        <v>30</v>
      </c>
      <c r="P344" s="2">
        <f>Tabela2[[#This Row],[Proposta
 Inicial]]-Tabela2[[#This Row],[Proposta
 Negociada]]</f>
        <v>0</v>
      </c>
      <c r="Q344" s="4" t="e">
        <f>Tabela2[[#This Row],[Proposta
 Negociada]]/Tabela2[[#This Row],[Proposta
 Inicial]]-1</f>
        <v>#DIV/0!</v>
      </c>
      <c r="S344"/>
    </row>
    <row r="345" spans="1:19" ht="14.45">
      <c r="A345" s="9"/>
      <c r="B345" s="9"/>
      <c r="C345" s="1" t="str">
        <f t="shared" si="12"/>
        <v/>
      </c>
      <c r="I345" s="1" t="str">
        <f>IFERROR(VLOOKUP(H345,SLA_Ref!$A$1:$B$8,2,FALSE),"")</f>
        <v/>
      </c>
      <c r="J345" s="1" t="str">
        <f t="shared" ca="1" si="11"/>
        <v/>
      </c>
      <c r="K345" s="11" t="e">
        <f>Tabela2[[#This Row],[SLA
Padrão]]-Tabela2[[#This Row],[SLA Atendimento]]</f>
        <v>#VALUE!</v>
      </c>
      <c r="L345" s="11"/>
      <c r="O345" s="1" t="s">
        <v>30</v>
      </c>
      <c r="P345" s="2">
        <f>Tabela2[[#This Row],[Proposta
 Inicial]]-Tabela2[[#This Row],[Proposta
 Negociada]]</f>
        <v>0</v>
      </c>
      <c r="Q345" s="4" t="e">
        <f>Tabela2[[#This Row],[Proposta
 Negociada]]/Tabela2[[#This Row],[Proposta
 Inicial]]-1</f>
        <v>#DIV/0!</v>
      </c>
      <c r="S345"/>
    </row>
    <row r="346" spans="1:19" ht="14.45">
      <c r="A346" s="9"/>
      <c r="B346" s="9"/>
      <c r="C346" s="1" t="str">
        <f t="shared" si="12"/>
        <v/>
      </c>
      <c r="I346" s="1" t="str">
        <f>IFERROR(VLOOKUP(H346,SLA_Ref!$A$1:$B$8,2,FALSE),"")</f>
        <v/>
      </c>
      <c r="J346" s="1" t="str">
        <f t="shared" ca="1" si="11"/>
        <v/>
      </c>
      <c r="K346" s="11" t="e">
        <f>Tabela2[[#This Row],[SLA
Padrão]]-Tabela2[[#This Row],[SLA Atendimento]]</f>
        <v>#VALUE!</v>
      </c>
      <c r="L346" s="11"/>
      <c r="O346" s="1" t="s">
        <v>30</v>
      </c>
      <c r="P346" s="2">
        <f>Tabela2[[#This Row],[Proposta
 Inicial]]-Tabela2[[#This Row],[Proposta
 Negociada]]</f>
        <v>0</v>
      </c>
      <c r="Q346" s="4" t="e">
        <f>Tabela2[[#This Row],[Proposta
 Negociada]]/Tabela2[[#This Row],[Proposta
 Inicial]]-1</f>
        <v>#DIV/0!</v>
      </c>
      <c r="S346"/>
    </row>
    <row r="347" spans="1:19" ht="14.45">
      <c r="A347" s="9"/>
      <c r="B347" s="9"/>
      <c r="C347" s="1" t="str">
        <f t="shared" si="12"/>
        <v/>
      </c>
      <c r="I347" s="1" t="str">
        <f>IFERROR(VLOOKUP(H347,SLA_Ref!$A$1:$B$8,2,FALSE),"")</f>
        <v/>
      </c>
      <c r="J347" s="1" t="str">
        <f t="shared" ca="1" si="11"/>
        <v/>
      </c>
      <c r="K347" s="11" t="e">
        <f>Tabela2[[#This Row],[SLA
Padrão]]-Tabela2[[#This Row],[SLA Atendimento]]</f>
        <v>#VALUE!</v>
      </c>
      <c r="L347" s="11"/>
      <c r="O347" s="1" t="s">
        <v>30</v>
      </c>
      <c r="P347" s="2">
        <f>Tabela2[[#This Row],[Proposta
 Inicial]]-Tabela2[[#This Row],[Proposta
 Negociada]]</f>
        <v>0</v>
      </c>
      <c r="Q347" s="4" t="e">
        <f>Tabela2[[#This Row],[Proposta
 Negociada]]/Tabela2[[#This Row],[Proposta
 Inicial]]-1</f>
        <v>#DIV/0!</v>
      </c>
      <c r="S347"/>
    </row>
    <row r="348" spans="1:19" ht="14.45">
      <c r="A348" s="9"/>
      <c r="B348" s="9"/>
      <c r="C348" s="1" t="str">
        <f t="shared" si="12"/>
        <v/>
      </c>
      <c r="I348" s="1" t="str">
        <f>IFERROR(VLOOKUP(H348,SLA_Ref!$A$1:$B$8,2,FALSE),"")</f>
        <v/>
      </c>
      <c r="J348" s="1" t="str">
        <f t="shared" ca="1" si="11"/>
        <v/>
      </c>
      <c r="K348" s="11" t="e">
        <f>Tabela2[[#This Row],[SLA
Padrão]]-Tabela2[[#This Row],[SLA Atendimento]]</f>
        <v>#VALUE!</v>
      </c>
      <c r="L348" s="11"/>
      <c r="O348" s="1" t="s">
        <v>30</v>
      </c>
      <c r="P348" s="2">
        <f>Tabela2[[#This Row],[Proposta
 Inicial]]-Tabela2[[#This Row],[Proposta
 Negociada]]</f>
        <v>0</v>
      </c>
      <c r="Q348" s="4" t="e">
        <f>Tabela2[[#This Row],[Proposta
 Negociada]]/Tabela2[[#This Row],[Proposta
 Inicial]]-1</f>
        <v>#DIV/0!</v>
      </c>
      <c r="S348"/>
    </row>
    <row r="349" spans="1:19" ht="14.45">
      <c r="A349" s="9"/>
      <c r="B349" s="9"/>
      <c r="C349" s="1" t="str">
        <f t="shared" si="12"/>
        <v/>
      </c>
      <c r="I349" s="1" t="str">
        <f>IFERROR(VLOOKUP(H349,SLA_Ref!$A$1:$B$8,2,FALSE),"")</f>
        <v/>
      </c>
      <c r="J349" s="1" t="str">
        <f t="shared" ca="1" si="11"/>
        <v/>
      </c>
      <c r="K349" s="11" t="e">
        <f>Tabela2[[#This Row],[SLA
Padrão]]-Tabela2[[#This Row],[SLA Atendimento]]</f>
        <v>#VALUE!</v>
      </c>
      <c r="L349" s="11"/>
      <c r="O349" s="1" t="s">
        <v>30</v>
      </c>
      <c r="P349" s="2">
        <f>Tabela2[[#This Row],[Proposta
 Inicial]]-Tabela2[[#This Row],[Proposta
 Negociada]]</f>
        <v>0</v>
      </c>
      <c r="Q349" s="4" t="e">
        <f>Tabela2[[#This Row],[Proposta
 Negociada]]/Tabela2[[#This Row],[Proposta
 Inicial]]-1</f>
        <v>#DIV/0!</v>
      </c>
      <c r="S349"/>
    </row>
    <row r="350" spans="1:19" ht="14.45">
      <c r="A350" s="9"/>
      <c r="B350" s="9"/>
      <c r="C350" s="1" t="str">
        <f t="shared" si="12"/>
        <v/>
      </c>
      <c r="I350" s="1" t="str">
        <f>IFERROR(VLOOKUP(H350,SLA_Ref!$A$1:$B$8,2,FALSE),"")</f>
        <v/>
      </c>
      <c r="J350" s="1" t="str">
        <f t="shared" ca="1" si="11"/>
        <v/>
      </c>
      <c r="K350" s="11" t="e">
        <f>Tabela2[[#This Row],[SLA
Padrão]]-Tabela2[[#This Row],[SLA Atendimento]]</f>
        <v>#VALUE!</v>
      </c>
      <c r="L350" s="11"/>
      <c r="O350" s="1" t="s">
        <v>30</v>
      </c>
      <c r="P350" s="2">
        <f>Tabela2[[#This Row],[Proposta
 Inicial]]-Tabela2[[#This Row],[Proposta
 Negociada]]</f>
        <v>0</v>
      </c>
      <c r="Q350" s="4" t="e">
        <f>Tabela2[[#This Row],[Proposta
 Negociada]]/Tabela2[[#This Row],[Proposta
 Inicial]]-1</f>
        <v>#DIV/0!</v>
      </c>
      <c r="S350"/>
    </row>
    <row r="351" spans="1:19" ht="14.45">
      <c r="A351" s="9"/>
      <c r="B351" s="9"/>
      <c r="C351" s="1" t="str">
        <f t="shared" si="12"/>
        <v/>
      </c>
      <c r="I351" s="1" t="str">
        <f>IFERROR(VLOOKUP(H351,SLA_Ref!$A$1:$B$8,2,FALSE),"")</f>
        <v/>
      </c>
      <c r="J351" s="1" t="str">
        <f t="shared" ca="1" si="11"/>
        <v/>
      </c>
      <c r="K351" s="11" t="e">
        <f>Tabela2[[#This Row],[SLA
Padrão]]-Tabela2[[#This Row],[SLA Atendimento]]</f>
        <v>#VALUE!</v>
      </c>
      <c r="L351" s="11"/>
      <c r="O351" s="1" t="s">
        <v>30</v>
      </c>
      <c r="P351" s="2">
        <f>Tabela2[[#This Row],[Proposta
 Inicial]]-Tabela2[[#This Row],[Proposta
 Negociada]]</f>
        <v>0</v>
      </c>
      <c r="Q351" s="4" t="e">
        <f>Tabela2[[#This Row],[Proposta
 Negociada]]/Tabela2[[#This Row],[Proposta
 Inicial]]-1</f>
        <v>#DIV/0!</v>
      </c>
      <c r="S351"/>
    </row>
    <row r="352" spans="1:19" ht="14.45">
      <c r="A352" s="9"/>
      <c r="B352" s="9"/>
      <c r="C352" s="1" t="str">
        <f t="shared" si="12"/>
        <v/>
      </c>
      <c r="I352" s="1" t="str">
        <f>IFERROR(VLOOKUP(H352,SLA_Ref!$A$1:$B$8,2,FALSE),"")</f>
        <v/>
      </c>
      <c r="J352" s="1" t="str">
        <f t="shared" ca="1" si="11"/>
        <v/>
      </c>
      <c r="K352" s="11" t="e">
        <f>Tabela2[[#This Row],[SLA
Padrão]]-Tabela2[[#This Row],[SLA Atendimento]]</f>
        <v>#VALUE!</v>
      </c>
      <c r="L352" s="11"/>
      <c r="O352" s="1" t="s">
        <v>30</v>
      </c>
      <c r="P352" s="2">
        <f>Tabela2[[#This Row],[Proposta
 Inicial]]-Tabela2[[#This Row],[Proposta
 Negociada]]</f>
        <v>0</v>
      </c>
      <c r="Q352" s="4" t="e">
        <f>Tabela2[[#This Row],[Proposta
 Negociada]]/Tabela2[[#This Row],[Proposta
 Inicial]]-1</f>
        <v>#DIV/0!</v>
      </c>
      <c r="S352"/>
    </row>
    <row r="353" spans="1:19" ht="14.45">
      <c r="A353" s="9"/>
      <c r="B353" s="9"/>
      <c r="C353" s="1" t="str">
        <f t="shared" si="12"/>
        <v/>
      </c>
      <c r="I353" s="1" t="str">
        <f>IFERROR(VLOOKUP(H353,SLA_Ref!$A$1:$B$8,2,FALSE),"")</f>
        <v/>
      </c>
      <c r="J353" s="1" t="str">
        <f t="shared" ca="1" si="11"/>
        <v/>
      </c>
      <c r="K353" s="11" t="e">
        <f>Tabela2[[#This Row],[SLA
Padrão]]-Tabela2[[#This Row],[SLA Atendimento]]</f>
        <v>#VALUE!</v>
      </c>
      <c r="L353" s="11"/>
      <c r="O353" s="1" t="s">
        <v>30</v>
      </c>
      <c r="P353" s="2">
        <f>Tabela2[[#This Row],[Proposta
 Inicial]]-Tabela2[[#This Row],[Proposta
 Negociada]]</f>
        <v>0</v>
      </c>
      <c r="Q353" s="4" t="e">
        <f>Tabela2[[#This Row],[Proposta
 Negociada]]/Tabela2[[#This Row],[Proposta
 Inicial]]-1</f>
        <v>#DIV/0!</v>
      </c>
      <c r="S353"/>
    </row>
    <row r="354" spans="1:19" ht="14.45">
      <c r="A354" s="9"/>
      <c r="B354" s="9"/>
      <c r="C354" s="1" t="str">
        <f t="shared" si="12"/>
        <v/>
      </c>
      <c r="I354" s="1" t="str">
        <f>IFERROR(VLOOKUP(H354,SLA_Ref!$A$1:$B$8,2,FALSE),"")</f>
        <v/>
      </c>
      <c r="J354" s="1" t="str">
        <f t="shared" ca="1" si="11"/>
        <v/>
      </c>
      <c r="K354" s="11" t="e">
        <f>Tabela2[[#This Row],[SLA
Padrão]]-Tabela2[[#This Row],[SLA Atendimento]]</f>
        <v>#VALUE!</v>
      </c>
      <c r="L354" s="11"/>
      <c r="O354" s="1" t="s">
        <v>30</v>
      </c>
      <c r="P354" s="2">
        <f>Tabela2[[#This Row],[Proposta
 Inicial]]-Tabela2[[#This Row],[Proposta
 Negociada]]</f>
        <v>0</v>
      </c>
      <c r="Q354" s="4" t="e">
        <f>Tabela2[[#This Row],[Proposta
 Negociada]]/Tabela2[[#This Row],[Proposta
 Inicial]]-1</f>
        <v>#DIV/0!</v>
      </c>
      <c r="S354"/>
    </row>
    <row r="355" spans="1:19" ht="14.45">
      <c r="A355" s="9"/>
      <c r="B355" s="9"/>
      <c r="C355" s="1" t="str">
        <f t="shared" si="12"/>
        <v/>
      </c>
      <c r="I355" s="1" t="str">
        <f>IFERROR(VLOOKUP(H355,SLA_Ref!$A$1:$B$8,2,FALSE),"")</f>
        <v/>
      </c>
      <c r="J355" s="1" t="str">
        <f t="shared" ca="1" si="11"/>
        <v/>
      </c>
      <c r="K355" s="11" t="e">
        <f>Tabela2[[#This Row],[SLA
Padrão]]-Tabela2[[#This Row],[SLA Atendimento]]</f>
        <v>#VALUE!</v>
      </c>
      <c r="L355" s="11"/>
      <c r="O355" s="1" t="s">
        <v>30</v>
      </c>
      <c r="P355" s="2">
        <f>Tabela2[[#This Row],[Proposta
 Inicial]]-Tabela2[[#This Row],[Proposta
 Negociada]]</f>
        <v>0</v>
      </c>
      <c r="Q355" s="4" t="e">
        <f>Tabela2[[#This Row],[Proposta
 Negociada]]/Tabela2[[#This Row],[Proposta
 Inicial]]-1</f>
        <v>#DIV/0!</v>
      </c>
      <c r="S355"/>
    </row>
    <row r="356" spans="1:19" ht="14.45">
      <c r="A356" s="9"/>
      <c r="B356" s="9"/>
      <c r="C356" s="1" t="str">
        <f t="shared" si="12"/>
        <v/>
      </c>
      <c r="I356" s="1" t="str">
        <f>IFERROR(VLOOKUP(H356,SLA_Ref!$A$1:$B$8,2,FALSE),"")</f>
        <v/>
      </c>
      <c r="J356" s="1" t="str">
        <f t="shared" ca="1" si="11"/>
        <v/>
      </c>
      <c r="K356" s="11" t="e">
        <f>Tabela2[[#This Row],[SLA
Padrão]]-Tabela2[[#This Row],[SLA Atendimento]]</f>
        <v>#VALUE!</v>
      </c>
      <c r="L356" s="11"/>
      <c r="O356" s="1" t="s">
        <v>30</v>
      </c>
      <c r="P356" s="2">
        <f>Tabela2[[#This Row],[Proposta
 Inicial]]-Tabela2[[#This Row],[Proposta
 Negociada]]</f>
        <v>0</v>
      </c>
      <c r="Q356" s="4" t="e">
        <f>Tabela2[[#This Row],[Proposta
 Negociada]]/Tabela2[[#This Row],[Proposta
 Inicial]]-1</f>
        <v>#DIV/0!</v>
      </c>
      <c r="S356"/>
    </row>
    <row r="357" spans="1:19" ht="14.45">
      <c r="A357" s="9"/>
      <c r="B357" s="9"/>
      <c r="C357" s="1" t="str">
        <f t="shared" si="12"/>
        <v/>
      </c>
      <c r="I357" s="1" t="str">
        <f>IFERROR(VLOOKUP(H357,SLA_Ref!$A$1:$B$8,2,FALSE),"")</f>
        <v/>
      </c>
      <c r="J357" s="1" t="str">
        <f t="shared" ca="1" si="11"/>
        <v/>
      </c>
      <c r="K357" s="11" t="e">
        <f>Tabela2[[#This Row],[SLA
Padrão]]-Tabela2[[#This Row],[SLA Atendimento]]</f>
        <v>#VALUE!</v>
      </c>
      <c r="L357" s="11"/>
      <c r="O357" s="1" t="s">
        <v>30</v>
      </c>
      <c r="P357" s="2">
        <f>Tabela2[[#This Row],[Proposta
 Inicial]]-Tabela2[[#This Row],[Proposta
 Negociada]]</f>
        <v>0</v>
      </c>
      <c r="Q357" s="4" t="e">
        <f>Tabela2[[#This Row],[Proposta
 Negociada]]/Tabela2[[#This Row],[Proposta
 Inicial]]-1</f>
        <v>#DIV/0!</v>
      </c>
      <c r="S357"/>
    </row>
    <row r="358" spans="1:19" ht="14.45">
      <c r="A358" s="9"/>
      <c r="B358" s="9"/>
      <c r="C358" s="1" t="str">
        <f t="shared" si="12"/>
        <v/>
      </c>
      <c r="I358" s="1" t="str">
        <f>IFERROR(VLOOKUP(H358,SLA_Ref!$A$1:$B$8,2,FALSE),"")</f>
        <v/>
      </c>
      <c r="J358" s="1" t="str">
        <f t="shared" ca="1" si="11"/>
        <v/>
      </c>
      <c r="K358" s="11" t="e">
        <f>Tabela2[[#This Row],[SLA
Padrão]]-Tabela2[[#This Row],[SLA Atendimento]]</f>
        <v>#VALUE!</v>
      </c>
      <c r="L358" s="11"/>
      <c r="O358" s="1" t="s">
        <v>30</v>
      </c>
      <c r="P358" s="2">
        <f>Tabela2[[#This Row],[Proposta
 Inicial]]-Tabela2[[#This Row],[Proposta
 Negociada]]</f>
        <v>0</v>
      </c>
      <c r="Q358" s="4" t="e">
        <f>Tabela2[[#This Row],[Proposta
 Negociada]]/Tabela2[[#This Row],[Proposta
 Inicial]]-1</f>
        <v>#DIV/0!</v>
      </c>
      <c r="S358"/>
    </row>
    <row r="359" spans="1:19" ht="14.45">
      <c r="A359" s="9"/>
      <c r="B359" s="9"/>
      <c r="C359" s="1" t="str">
        <f t="shared" si="12"/>
        <v/>
      </c>
      <c r="I359" s="1" t="str">
        <f>IFERROR(VLOOKUP(H359,SLA_Ref!$A$1:$B$8,2,FALSE),"")</f>
        <v/>
      </c>
      <c r="J359" s="1" t="str">
        <f t="shared" ca="1" si="11"/>
        <v/>
      </c>
      <c r="K359" s="11" t="e">
        <f>Tabela2[[#This Row],[SLA
Padrão]]-Tabela2[[#This Row],[SLA Atendimento]]</f>
        <v>#VALUE!</v>
      </c>
      <c r="L359" s="11"/>
      <c r="O359" s="1" t="s">
        <v>30</v>
      </c>
      <c r="P359" s="2">
        <f>Tabela2[[#This Row],[Proposta
 Inicial]]-Tabela2[[#This Row],[Proposta
 Negociada]]</f>
        <v>0</v>
      </c>
      <c r="Q359" s="4" t="e">
        <f>Tabela2[[#This Row],[Proposta
 Negociada]]/Tabela2[[#This Row],[Proposta
 Inicial]]-1</f>
        <v>#DIV/0!</v>
      </c>
      <c r="S359"/>
    </row>
    <row r="360" spans="1:19" ht="14.45">
      <c r="A360" s="9"/>
      <c r="B360" s="9"/>
      <c r="C360" s="1" t="str">
        <f t="shared" si="12"/>
        <v/>
      </c>
      <c r="I360" s="1" t="str">
        <f>IFERROR(VLOOKUP(H360,SLA_Ref!$A$1:$B$8,2,FALSE),"")</f>
        <v/>
      </c>
      <c r="J360" s="1" t="str">
        <f t="shared" ca="1" si="11"/>
        <v/>
      </c>
      <c r="K360" s="11" t="e">
        <f>Tabela2[[#This Row],[SLA
Padrão]]-Tabela2[[#This Row],[SLA Atendimento]]</f>
        <v>#VALUE!</v>
      </c>
      <c r="L360" s="11"/>
      <c r="O360" s="1" t="s">
        <v>30</v>
      </c>
      <c r="P360" s="2">
        <f>Tabela2[[#This Row],[Proposta
 Inicial]]-Tabela2[[#This Row],[Proposta
 Negociada]]</f>
        <v>0</v>
      </c>
      <c r="Q360" s="4" t="e">
        <f>Tabela2[[#This Row],[Proposta
 Negociada]]/Tabela2[[#This Row],[Proposta
 Inicial]]-1</f>
        <v>#DIV/0!</v>
      </c>
      <c r="S360"/>
    </row>
    <row r="361" spans="1:19" ht="14.45">
      <c r="A361" s="9"/>
      <c r="B361" s="9"/>
      <c r="C361" s="1" t="str">
        <f t="shared" si="12"/>
        <v/>
      </c>
      <c r="I361" s="1" t="str">
        <f>IFERROR(VLOOKUP(H361,SLA_Ref!$A$1:$B$8,2,FALSE),"")</f>
        <v/>
      </c>
      <c r="J361" s="1" t="str">
        <f t="shared" ca="1" si="11"/>
        <v/>
      </c>
      <c r="K361" s="11" t="e">
        <f>Tabela2[[#This Row],[SLA
Padrão]]-Tabela2[[#This Row],[SLA Atendimento]]</f>
        <v>#VALUE!</v>
      </c>
      <c r="L361" s="11"/>
      <c r="O361" s="1" t="s">
        <v>30</v>
      </c>
      <c r="P361" s="2">
        <f>Tabela2[[#This Row],[Proposta
 Inicial]]-Tabela2[[#This Row],[Proposta
 Negociada]]</f>
        <v>0</v>
      </c>
      <c r="Q361" s="4" t="e">
        <f>Tabela2[[#This Row],[Proposta
 Negociada]]/Tabela2[[#This Row],[Proposta
 Inicial]]-1</f>
        <v>#DIV/0!</v>
      </c>
      <c r="S361"/>
    </row>
    <row r="362" spans="1:19" ht="14.45">
      <c r="A362" s="9"/>
      <c r="B362" s="9"/>
      <c r="C362" s="1" t="str">
        <f t="shared" si="12"/>
        <v/>
      </c>
      <c r="I362" s="1" t="str">
        <f>IFERROR(VLOOKUP(H362,SLA_Ref!$A$1:$B$8,2,FALSE),"")</f>
        <v/>
      </c>
      <c r="J362" s="1" t="str">
        <f t="shared" ca="1" si="11"/>
        <v/>
      </c>
      <c r="K362" s="11" t="e">
        <f>Tabela2[[#This Row],[SLA
Padrão]]-Tabela2[[#This Row],[SLA Atendimento]]</f>
        <v>#VALUE!</v>
      </c>
      <c r="L362" s="11"/>
      <c r="O362" s="1" t="s">
        <v>30</v>
      </c>
      <c r="P362" s="2">
        <f>Tabela2[[#This Row],[Proposta
 Inicial]]-Tabela2[[#This Row],[Proposta
 Negociada]]</f>
        <v>0</v>
      </c>
      <c r="Q362" s="4" t="e">
        <f>Tabela2[[#This Row],[Proposta
 Negociada]]/Tabela2[[#This Row],[Proposta
 Inicial]]-1</f>
        <v>#DIV/0!</v>
      </c>
      <c r="S362"/>
    </row>
    <row r="363" spans="1:19" ht="14.45">
      <c r="A363" s="9"/>
      <c r="B363" s="9"/>
      <c r="C363" s="1" t="str">
        <f t="shared" si="12"/>
        <v/>
      </c>
      <c r="I363" s="1" t="str">
        <f>IFERROR(VLOOKUP(H363,SLA_Ref!$A$1:$B$8,2,FALSE),"")</f>
        <v/>
      </c>
      <c r="J363" s="1" t="str">
        <f t="shared" ref="J363:J426" ca="1" si="13">IF(A363="","",IF(B363="",IF(TODAY()-A363&gt;I363,"ATRASADA","EM ANDAMENTO"),IF(B363-A363&gt;I363,"ATRASADA","NO PRAZO")))</f>
        <v/>
      </c>
      <c r="K363" s="11" t="e">
        <f>Tabela2[[#This Row],[SLA
Padrão]]-Tabela2[[#This Row],[SLA Atendimento]]</f>
        <v>#VALUE!</v>
      </c>
      <c r="L363" s="11"/>
      <c r="O363" s="1" t="s">
        <v>30</v>
      </c>
      <c r="P363" s="2">
        <f>Tabela2[[#This Row],[Proposta
 Inicial]]-Tabela2[[#This Row],[Proposta
 Negociada]]</f>
        <v>0</v>
      </c>
      <c r="Q363" s="4" t="e">
        <f>Tabela2[[#This Row],[Proposta
 Negociada]]/Tabela2[[#This Row],[Proposta
 Inicial]]-1</f>
        <v>#DIV/0!</v>
      </c>
      <c r="S363"/>
    </row>
    <row r="364" spans="1:19" ht="14.45">
      <c r="A364" s="9"/>
      <c r="B364" s="9"/>
      <c r="C364" s="1" t="str">
        <f t="shared" si="12"/>
        <v/>
      </c>
      <c r="I364" s="1" t="str">
        <f>IFERROR(VLOOKUP(H364,SLA_Ref!$A$1:$B$8,2,FALSE),"")</f>
        <v/>
      </c>
      <c r="J364" s="1" t="str">
        <f t="shared" ca="1" si="13"/>
        <v/>
      </c>
      <c r="K364" s="11" t="e">
        <f>Tabela2[[#This Row],[SLA
Padrão]]-Tabela2[[#This Row],[SLA Atendimento]]</f>
        <v>#VALUE!</v>
      </c>
      <c r="L364" s="11"/>
      <c r="O364" s="1" t="s">
        <v>30</v>
      </c>
      <c r="P364" s="2">
        <f>Tabela2[[#This Row],[Proposta
 Inicial]]-Tabela2[[#This Row],[Proposta
 Negociada]]</f>
        <v>0</v>
      </c>
      <c r="Q364" s="4" t="e">
        <f>Tabela2[[#This Row],[Proposta
 Negociada]]/Tabela2[[#This Row],[Proposta
 Inicial]]-1</f>
        <v>#DIV/0!</v>
      </c>
      <c r="S364"/>
    </row>
    <row r="365" spans="1:19" ht="14.45">
      <c r="A365" s="9"/>
      <c r="B365" s="9"/>
      <c r="C365" s="1" t="str">
        <f t="shared" si="12"/>
        <v/>
      </c>
      <c r="I365" s="1" t="str">
        <f>IFERROR(VLOOKUP(H365,SLA_Ref!$A$1:$B$8,2,FALSE),"")</f>
        <v/>
      </c>
      <c r="J365" s="1" t="str">
        <f t="shared" ca="1" si="13"/>
        <v/>
      </c>
      <c r="K365" s="11" t="e">
        <f>Tabela2[[#This Row],[SLA
Padrão]]-Tabela2[[#This Row],[SLA Atendimento]]</f>
        <v>#VALUE!</v>
      </c>
      <c r="L365" s="11"/>
      <c r="O365" s="1" t="s">
        <v>30</v>
      </c>
      <c r="P365" s="2">
        <f>Tabela2[[#This Row],[Proposta
 Inicial]]-Tabela2[[#This Row],[Proposta
 Negociada]]</f>
        <v>0</v>
      </c>
      <c r="Q365" s="4" t="e">
        <f>Tabela2[[#This Row],[Proposta
 Negociada]]/Tabela2[[#This Row],[Proposta
 Inicial]]-1</f>
        <v>#DIV/0!</v>
      </c>
      <c r="S365"/>
    </row>
    <row r="366" spans="1:19" ht="14.45">
      <c r="A366" s="9"/>
      <c r="B366" s="9"/>
      <c r="C366" s="1" t="str">
        <f t="shared" si="12"/>
        <v/>
      </c>
      <c r="I366" s="1" t="str">
        <f>IFERROR(VLOOKUP(H366,SLA_Ref!$A$1:$B$8,2,FALSE),"")</f>
        <v/>
      </c>
      <c r="J366" s="1" t="str">
        <f t="shared" ca="1" si="13"/>
        <v/>
      </c>
      <c r="K366" s="11" t="e">
        <f>Tabela2[[#This Row],[SLA
Padrão]]-Tabela2[[#This Row],[SLA Atendimento]]</f>
        <v>#VALUE!</v>
      </c>
      <c r="L366" s="11"/>
      <c r="O366" s="1" t="s">
        <v>30</v>
      </c>
      <c r="P366" s="2">
        <f>Tabela2[[#This Row],[Proposta
 Inicial]]-Tabela2[[#This Row],[Proposta
 Negociada]]</f>
        <v>0</v>
      </c>
      <c r="Q366" s="4" t="e">
        <f>Tabela2[[#This Row],[Proposta
 Negociada]]/Tabela2[[#This Row],[Proposta
 Inicial]]-1</f>
        <v>#DIV/0!</v>
      </c>
      <c r="S366"/>
    </row>
    <row r="367" spans="1:19" ht="14.45">
      <c r="A367" s="9"/>
      <c r="B367" s="9"/>
      <c r="C367" s="1" t="str">
        <f t="shared" si="12"/>
        <v/>
      </c>
      <c r="I367" s="1" t="str">
        <f>IFERROR(VLOOKUP(H367,SLA_Ref!$A$1:$B$8,2,FALSE),"")</f>
        <v/>
      </c>
      <c r="J367" s="1" t="str">
        <f t="shared" ca="1" si="13"/>
        <v/>
      </c>
      <c r="K367" s="11" t="e">
        <f>Tabela2[[#This Row],[SLA
Padrão]]-Tabela2[[#This Row],[SLA Atendimento]]</f>
        <v>#VALUE!</v>
      </c>
      <c r="L367" s="11"/>
      <c r="O367" s="1" t="s">
        <v>30</v>
      </c>
      <c r="P367" s="2">
        <f>Tabela2[[#This Row],[Proposta
 Inicial]]-Tabela2[[#This Row],[Proposta
 Negociada]]</f>
        <v>0</v>
      </c>
      <c r="Q367" s="4" t="e">
        <f>Tabela2[[#This Row],[Proposta
 Negociada]]/Tabela2[[#This Row],[Proposta
 Inicial]]-1</f>
        <v>#DIV/0!</v>
      </c>
      <c r="S367"/>
    </row>
    <row r="368" spans="1:19" ht="14.45">
      <c r="A368" s="9"/>
      <c r="B368" s="9"/>
      <c r="C368" s="1" t="str">
        <f t="shared" si="12"/>
        <v/>
      </c>
      <c r="I368" s="1" t="str">
        <f>IFERROR(VLOOKUP(H368,SLA_Ref!$A$1:$B$8,2,FALSE),"")</f>
        <v/>
      </c>
      <c r="J368" s="1" t="str">
        <f t="shared" ca="1" si="13"/>
        <v/>
      </c>
      <c r="K368" s="11" t="e">
        <f>Tabela2[[#This Row],[SLA
Padrão]]-Tabela2[[#This Row],[SLA Atendimento]]</f>
        <v>#VALUE!</v>
      </c>
      <c r="L368" s="11"/>
      <c r="O368" s="1" t="s">
        <v>30</v>
      </c>
      <c r="P368" s="2">
        <f>Tabela2[[#This Row],[Proposta
 Inicial]]-Tabela2[[#This Row],[Proposta
 Negociada]]</f>
        <v>0</v>
      </c>
      <c r="Q368" s="4" t="e">
        <f>Tabela2[[#This Row],[Proposta
 Negociada]]/Tabela2[[#This Row],[Proposta
 Inicial]]-1</f>
        <v>#DIV/0!</v>
      </c>
      <c r="S368"/>
    </row>
    <row r="369" spans="1:19" ht="14.45">
      <c r="A369" s="9"/>
      <c r="B369" s="9"/>
      <c r="C369" s="1" t="str">
        <f t="shared" si="12"/>
        <v/>
      </c>
      <c r="I369" s="1" t="str">
        <f>IFERROR(VLOOKUP(H369,SLA_Ref!$A$1:$B$8,2,FALSE),"")</f>
        <v/>
      </c>
      <c r="J369" s="1" t="str">
        <f t="shared" ca="1" si="13"/>
        <v/>
      </c>
      <c r="K369" s="11" t="e">
        <f>Tabela2[[#This Row],[SLA
Padrão]]-Tabela2[[#This Row],[SLA Atendimento]]</f>
        <v>#VALUE!</v>
      </c>
      <c r="L369" s="11"/>
      <c r="O369" s="1" t="s">
        <v>30</v>
      </c>
      <c r="P369" s="2">
        <f>Tabela2[[#This Row],[Proposta
 Inicial]]-Tabela2[[#This Row],[Proposta
 Negociada]]</f>
        <v>0</v>
      </c>
      <c r="Q369" s="4" t="e">
        <f>Tabela2[[#This Row],[Proposta
 Negociada]]/Tabela2[[#This Row],[Proposta
 Inicial]]-1</f>
        <v>#DIV/0!</v>
      </c>
      <c r="S369"/>
    </row>
    <row r="370" spans="1:19" ht="14.45">
      <c r="A370" s="9"/>
      <c r="B370" s="9"/>
      <c r="C370" s="1" t="str">
        <f t="shared" si="12"/>
        <v/>
      </c>
      <c r="I370" s="1" t="str">
        <f>IFERROR(VLOOKUP(H370,SLA_Ref!$A$1:$B$8,2,FALSE),"")</f>
        <v/>
      </c>
      <c r="J370" s="1" t="str">
        <f t="shared" ca="1" si="13"/>
        <v/>
      </c>
      <c r="K370" s="11" t="e">
        <f>Tabela2[[#This Row],[SLA
Padrão]]-Tabela2[[#This Row],[SLA Atendimento]]</f>
        <v>#VALUE!</v>
      </c>
      <c r="L370" s="11"/>
      <c r="O370" s="1" t="s">
        <v>30</v>
      </c>
      <c r="P370" s="2">
        <f>Tabela2[[#This Row],[Proposta
 Inicial]]-Tabela2[[#This Row],[Proposta
 Negociada]]</f>
        <v>0</v>
      </c>
      <c r="Q370" s="4" t="e">
        <f>Tabela2[[#This Row],[Proposta
 Negociada]]/Tabela2[[#This Row],[Proposta
 Inicial]]-1</f>
        <v>#DIV/0!</v>
      </c>
      <c r="S370"/>
    </row>
    <row r="371" spans="1:19" ht="14.45">
      <c r="A371" s="9"/>
      <c r="B371" s="9"/>
      <c r="C371" s="1" t="str">
        <f t="shared" si="12"/>
        <v/>
      </c>
      <c r="I371" s="1" t="str">
        <f>IFERROR(VLOOKUP(H371,SLA_Ref!$A$1:$B$8,2,FALSE),"")</f>
        <v/>
      </c>
      <c r="J371" s="1" t="str">
        <f t="shared" ca="1" si="13"/>
        <v/>
      </c>
      <c r="K371" s="11" t="e">
        <f>Tabela2[[#This Row],[SLA
Padrão]]-Tabela2[[#This Row],[SLA Atendimento]]</f>
        <v>#VALUE!</v>
      </c>
      <c r="L371" s="11"/>
      <c r="O371" s="1" t="s">
        <v>30</v>
      </c>
      <c r="P371" s="2">
        <f>Tabela2[[#This Row],[Proposta
 Inicial]]-Tabela2[[#This Row],[Proposta
 Negociada]]</f>
        <v>0</v>
      </c>
      <c r="Q371" s="4" t="e">
        <f>Tabela2[[#This Row],[Proposta
 Negociada]]/Tabela2[[#This Row],[Proposta
 Inicial]]-1</f>
        <v>#DIV/0!</v>
      </c>
      <c r="S371"/>
    </row>
    <row r="372" spans="1:19" ht="14.45">
      <c r="A372" s="9"/>
      <c r="B372" s="9"/>
      <c r="C372" s="1" t="str">
        <f t="shared" si="12"/>
        <v/>
      </c>
      <c r="I372" s="1" t="str">
        <f>IFERROR(VLOOKUP(H372,SLA_Ref!$A$1:$B$8,2,FALSE),"")</f>
        <v/>
      </c>
      <c r="J372" s="1" t="str">
        <f t="shared" ca="1" si="13"/>
        <v/>
      </c>
      <c r="K372" s="11" t="e">
        <f>Tabela2[[#This Row],[SLA
Padrão]]-Tabela2[[#This Row],[SLA Atendimento]]</f>
        <v>#VALUE!</v>
      </c>
      <c r="L372" s="11"/>
      <c r="O372" s="1" t="s">
        <v>30</v>
      </c>
      <c r="P372" s="2">
        <f>Tabela2[[#This Row],[Proposta
 Inicial]]-Tabela2[[#This Row],[Proposta
 Negociada]]</f>
        <v>0</v>
      </c>
      <c r="Q372" s="4" t="e">
        <f>Tabela2[[#This Row],[Proposta
 Negociada]]/Tabela2[[#This Row],[Proposta
 Inicial]]-1</f>
        <v>#DIV/0!</v>
      </c>
      <c r="S372"/>
    </row>
    <row r="373" spans="1:19" ht="14.45">
      <c r="A373" s="9"/>
      <c r="B373" s="9"/>
      <c r="C373" s="1" t="str">
        <f t="shared" si="12"/>
        <v/>
      </c>
      <c r="I373" s="1" t="str">
        <f>IFERROR(VLOOKUP(H373,SLA_Ref!$A$1:$B$8,2,FALSE),"")</f>
        <v/>
      </c>
      <c r="J373" s="1" t="str">
        <f t="shared" ca="1" si="13"/>
        <v/>
      </c>
      <c r="K373" s="11" t="e">
        <f>Tabela2[[#This Row],[SLA
Padrão]]-Tabela2[[#This Row],[SLA Atendimento]]</f>
        <v>#VALUE!</v>
      </c>
      <c r="L373" s="11"/>
      <c r="O373" s="1" t="s">
        <v>30</v>
      </c>
      <c r="P373" s="2">
        <f>Tabela2[[#This Row],[Proposta
 Inicial]]-Tabela2[[#This Row],[Proposta
 Negociada]]</f>
        <v>0</v>
      </c>
      <c r="Q373" s="4" t="e">
        <f>Tabela2[[#This Row],[Proposta
 Negociada]]/Tabela2[[#This Row],[Proposta
 Inicial]]-1</f>
        <v>#DIV/0!</v>
      </c>
      <c r="S373"/>
    </row>
    <row r="374" spans="1:19" ht="14.45">
      <c r="A374" s="9"/>
      <c r="B374" s="9"/>
      <c r="C374" s="1" t="str">
        <f t="shared" si="12"/>
        <v/>
      </c>
      <c r="I374" s="1" t="str">
        <f>IFERROR(VLOOKUP(H374,SLA_Ref!$A$1:$B$8,2,FALSE),"")</f>
        <v/>
      </c>
      <c r="J374" s="1" t="str">
        <f t="shared" ca="1" si="13"/>
        <v/>
      </c>
      <c r="K374" s="11" t="e">
        <f>Tabela2[[#This Row],[SLA
Padrão]]-Tabela2[[#This Row],[SLA Atendimento]]</f>
        <v>#VALUE!</v>
      </c>
      <c r="L374" s="11"/>
      <c r="O374" s="1" t="s">
        <v>30</v>
      </c>
      <c r="P374" s="2">
        <f>Tabela2[[#This Row],[Proposta
 Inicial]]-Tabela2[[#This Row],[Proposta
 Negociada]]</f>
        <v>0</v>
      </c>
      <c r="Q374" s="4" t="e">
        <f>Tabela2[[#This Row],[Proposta
 Negociada]]/Tabela2[[#This Row],[Proposta
 Inicial]]-1</f>
        <v>#DIV/0!</v>
      </c>
      <c r="S374"/>
    </row>
    <row r="375" spans="1:19" ht="14.45">
      <c r="A375" s="9"/>
      <c r="B375" s="9"/>
      <c r="C375" s="1" t="str">
        <f t="shared" si="12"/>
        <v/>
      </c>
      <c r="I375" s="1" t="str">
        <f>IFERROR(VLOOKUP(H375,SLA_Ref!$A$1:$B$8,2,FALSE),"")</f>
        <v/>
      </c>
      <c r="J375" s="1" t="str">
        <f t="shared" ca="1" si="13"/>
        <v/>
      </c>
      <c r="K375" s="11" t="e">
        <f>Tabela2[[#This Row],[SLA
Padrão]]-Tabela2[[#This Row],[SLA Atendimento]]</f>
        <v>#VALUE!</v>
      </c>
      <c r="L375" s="11"/>
      <c r="O375" s="1" t="s">
        <v>30</v>
      </c>
      <c r="P375" s="2">
        <f>Tabela2[[#This Row],[Proposta
 Inicial]]-Tabela2[[#This Row],[Proposta
 Negociada]]</f>
        <v>0</v>
      </c>
      <c r="Q375" s="4" t="e">
        <f>Tabela2[[#This Row],[Proposta
 Negociada]]/Tabela2[[#This Row],[Proposta
 Inicial]]-1</f>
        <v>#DIV/0!</v>
      </c>
      <c r="S375"/>
    </row>
    <row r="376" spans="1:19" ht="14.45">
      <c r="A376" s="9"/>
      <c r="B376" s="9"/>
      <c r="C376" s="1" t="str">
        <f t="shared" si="12"/>
        <v/>
      </c>
      <c r="I376" s="1" t="str">
        <f>IFERROR(VLOOKUP(H376,SLA_Ref!$A$1:$B$8,2,FALSE),"")</f>
        <v/>
      </c>
      <c r="J376" s="1" t="str">
        <f t="shared" ca="1" si="13"/>
        <v/>
      </c>
      <c r="K376" s="11" t="e">
        <f>Tabela2[[#This Row],[SLA
Padrão]]-Tabela2[[#This Row],[SLA Atendimento]]</f>
        <v>#VALUE!</v>
      </c>
      <c r="L376" s="11"/>
      <c r="O376" s="1" t="s">
        <v>30</v>
      </c>
      <c r="P376" s="2">
        <f>Tabela2[[#This Row],[Proposta
 Inicial]]-Tabela2[[#This Row],[Proposta
 Negociada]]</f>
        <v>0</v>
      </c>
      <c r="Q376" s="4" t="e">
        <f>Tabela2[[#This Row],[Proposta
 Negociada]]/Tabela2[[#This Row],[Proposta
 Inicial]]-1</f>
        <v>#DIV/0!</v>
      </c>
      <c r="S376"/>
    </row>
    <row r="377" spans="1:19" ht="14.45">
      <c r="A377" s="9"/>
      <c r="B377" s="9"/>
      <c r="C377" s="1" t="str">
        <f t="shared" si="12"/>
        <v/>
      </c>
      <c r="I377" s="1" t="str">
        <f>IFERROR(VLOOKUP(H377,SLA_Ref!$A$1:$B$8,2,FALSE),"")</f>
        <v/>
      </c>
      <c r="J377" s="1" t="str">
        <f t="shared" ca="1" si="13"/>
        <v/>
      </c>
      <c r="K377" s="11" t="e">
        <f>Tabela2[[#This Row],[SLA
Padrão]]-Tabela2[[#This Row],[SLA Atendimento]]</f>
        <v>#VALUE!</v>
      </c>
      <c r="L377" s="11"/>
      <c r="O377" s="1" t="s">
        <v>30</v>
      </c>
      <c r="P377" s="2">
        <f>Tabela2[[#This Row],[Proposta
 Inicial]]-Tabela2[[#This Row],[Proposta
 Negociada]]</f>
        <v>0</v>
      </c>
      <c r="Q377" s="4" t="e">
        <f>Tabela2[[#This Row],[Proposta
 Negociada]]/Tabela2[[#This Row],[Proposta
 Inicial]]-1</f>
        <v>#DIV/0!</v>
      </c>
      <c r="S377"/>
    </row>
    <row r="378" spans="1:19" ht="14.45">
      <c r="A378" s="9"/>
      <c r="B378" s="9"/>
      <c r="C378" s="1" t="str">
        <f t="shared" si="12"/>
        <v/>
      </c>
      <c r="I378" s="1" t="str">
        <f>IFERROR(VLOOKUP(H378,SLA_Ref!$A$1:$B$8,2,FALSE),"")</f>
        <v/>
      </c>
      <c r="J378" s="1" t="str">
        <f t="shared" ca="1" si="13"/>
        <v/>
      </c>
      <c r="K378" s="11" t="e">
        <f>Tabela2[[#This Row],[SLA
Padrão]]-Tabela2[[#This Row],[SLA Atendimento]]</f>
        <v>#VALUE!</v>
      </c>
      <c r="L378" s="11"/>
      <c r="O378" s="1" t="s">
        <v>30</v>
      </c>
      <c r="P378" s="2">
        <f>Tabela2[[#This Row],[Proposta
 Inicial]]-Tabela2[[#This Row],[Proposta
 Negociada]]</f>
        <v>0</v>
      </c>
      <c r="Q378" s="4" t="e">
        <f>Tabela2[[#This Row],[Proposta
 Negociada]]/Tabela2[[#This Row],[Proposta
 Inicial]]-1</f>
        <v>#DIV/0!</v>
      </c>
      <c r="S378"/>
    </row>
    <row r="379" spans="1:19" ht="14.45">
      <c r="A379" s="9"/>
      <c r="B379" s="9"/>
      <c r="C379" s="1" t="str">
        <f t="shared" si="12"/>
        <v/>
      </c>
      <c r="I379" s="1" t="str">
        <f>IFERROR(VLOOKUP(H379,SLA_Ref!$A$1:$B$8,2,FALSE),"")</f>
        <v/>
      </c>
      <c r="J379" s="1" t="str">
        <f t="shared" ca="1" si="13"/>
        <v/>
      </c>
      <c r="K379" s="11" t="e">
        <f>Tabela2[[#This Row],[SLA
Padrão]]-Tabela2[[#This Row],[SLA Atendimento]]</f>
        <v>#VALUE!</v>
      </c>
      <c r="L379" s="11"/>
      <c r="O379" s="1" t="s">
        <v>30</v>
      </c>
      <c r="P379" s="2">
        <f>Tabela2[[#This Row],[Proposta
 Inicial]]-Tabela2[[#This Row],[Proposta
 Negociada]]</f>
        <v>0</v>
      </c>
      <c r="Q379" s="4" t="e">
        <f>Tabela2[[#This Row],[Proposta
 Negociada]]/Tabela2[[#This Row],[Proposta
 Inicial]]-1</f>
        <v>#DIV/0!</v>
      </c>
      <c r="S379"/>
    </row>
    <row r="380" spans="1:19" ht="14.45">
      <c r="A380" s="9"/>
      <c r="B380" s="9"/>
      <c r="C380" s="1" t="str">
        <f t="shared" si="12"/>
        <v/>
      </c>
      <c r="I380" s="1" t="str">
        <f>IFERROR(VLOOKUP(H380,SLA_Ref!$A$1:$B$8,2,FALSE),"")</f>
        <v/>
      </c>
      <c r="J380" s="1" t="str">
        <f t="shared" ca="1" si="13"/>
        <v/>
      </c>
      <c r="K380" s="11" t="e">
        <f>Tabela2[[#This Row],[SLA
Padrão]]-Tabela2[[#This Row],[SLA Atendimento]]</f>
        <v>#VALUE!</v>
      </c>
      <c r="L380" s="11"/>
      <c r="O380" s="1" t="s">
        <v>30</v>
      </c>
      <c r="P380" s="2">
        <f>Tabela2[[#This Row],[Proposta
 Inicial]]-Tabela2[[#This Row],[Proposta
 Negociada]]</f>
        <v>0</v>
      </c>
      <c r="Q380" s="4" t="e">
        <f>Tabela2[[#This Row],[Proposta
 Negociada]]/Tabela2[[#This Row],[Proposta
 Inicial]]-1</f>
        <v>#DIV/0!</v>
      </c>
      <c r="S380"/>
    </row>
    <row r="381" spans="1:19" ht="14.45">
      <c r="A381" s="9"/>
      <c r="B381" s="9"/>
      <c r="C381" s="1" t="str">
        <f t="shared" si="12"/>
        <v/>
      </c>
      <c r="I381" s="1" t="str">
        <f>IFERROR(VLOOKUP(H381,SLA_Ref!$A$1:$B$8,2,FALSE),"")</f>
        <v/>
      </c>
      <c r="J381" s="1" t="str">
        <f t="shared" ca="1" si="13"/>
        <v/>
      </c>
      <c r="K381" s="11" t="e">
        <f>Tabela2[[#This Row],[SLA
Padrão]]-Tabela2[[#This Row],[SLA Atendimento]]</f>
        <v>#VALUE!</v>
      </c>
      <c r="L381" s="11"/>
      <c r="O381" s="1" t="s">
        <v>30</v>
      </c>
      <c r="P381" s="2">
        <f>Tabela2[[#This Row],[Proposta
 Inicial]]-Tabela2[[#This Row],[Proposta
 Negociada]]</f>
        <v>0</v>
      </c>
      <c r="Q381" s="4" t="e">
        <f>Tabela2[[#This Row],[Proposta
 Negociada]]/Tabela2[[#This Row],[Proposta
 Inicial]]-1</f>
        <v>#DIV/0!</v>
      </c>
      <c r="S381"/>
    </row>
    <row r="382" spans="1:19" ht="14.45">
      <c r="A382" s="9"/>
      <c r="B382" s="9"/>
      <c r="C382" s="1" t="str">
        <f t="shared" si="12"/>
        <v/>
      </c>
      <c r="I382" s="1" t="str">
        <f>IFERROR(VLOOKUP(H382,SLA_Ref!$A$1:$B$8,2,FALSE),"")</f>
        <v/>
      </c>
      <c r="J382" s="1" t="str">
        <f t="shared" ca="1" si="13"/>
        <v/>
      </c>
      <c r="K382" s="11" t="e">
        <f>Tabela2[[#This Row],[SLA
Padrão]]-Tabela2[[#This Row],[SLA Atendimento]]</f>
        <v>#VALUE!</v>
      </c>
      <c r="L382" s="11"/>
      <c r="O382" s="1" t="s">
        <v>30</v>
      </c>
      <c r="P382" s="2">
        <f>Tabela2[[#This Row],[Proposta
 Inicial]]-Tabela2[[#This Row],[Proposta
 Negociada]]</f>
        <v>0</v>
      </c>
      <c r="Q382" s="4" t="e">
        <f>Tabela2[[#This Row],[Proposta
 Negociada]]/Tabela2[[#This Row],[Proposta
 Inicial]]-1</f>
        <v>#DIV/0!</v>
      </c>
      <c r="S382"/>
    </row>
    <row r="383" spans="1:19" ht="14.45">
      <c r="A383" s="9"/>
      <c r="B383" s="9"/>
      <c r="C383" s="1" t="str">
        <f t="shared" si="12"/>
        <v/>
      </c>
      <c r="I383" s="1" t="str">
        <f>IFERROR(VLOOKUP(H383,SLA_Ref!$A$1:$B$8,2,FALSE),"")</f>
        <v/>
      </c>
      <c r="J383" s="1" t="str">
        <f t="shared" ca="1" si="13"/>
        <v/>
      </c>
      <c r="K383" s="11" t="e">
        <f>Tabela2[[#This Row],[SLA
Padrão]]-Tabela2[[#This Row],[SLA Atendimento]]</f>
        <v>#VALUE!</v>
      </c>
      <c r="L383" s="11"/>
      <c r="O383" s="1" t="s">
        <v>30</v>
      </c>
      <c r="P383" s="2">
        <f>Tabela2[[#This Row],[Proposta
 Inicial]]-Tabela2[[#This Row],[Proposta
 Negociada]]</f>
        <v>0</v>
      </c>
      <c r="Q383" s="4" t="e">
        <f>Tabela2[[#This Row],[Proposta
 Negociada]]/Tabela2[[#This Row],[Proposta
 Inicial]]-1</f>
        <v>#DIV/0!</v>
      </c>
      <c r="S383"/>
    </row>
    <row r="384" spans="1:19" ht="14.45">
      <c r="A384" s="9"/>
      <c r="B384" s="9"/>
      <c r="C384" s="1" t="str">
        <f t="shared" si="12"/>
        <v/>
      </c>
      <c r="I384" s="1" t="str">
        <f>IFERROR(VLOOKUP(H384,SLA_Ref!$A$1:$B$8,2,FALSE),"")</f>
        <v/>
      </c>
      <c r="J384" s="1" t="str">
        <f t="shared" ca="1" si="13"/>
        <v/>
      </c>
      <c r="K384" s="11" t="e">
        <f>Tabela2[[#This Row],[SLA
Padrão]]-Tabela2[[#This Row],[SLA Atendimento]]</f>
        <v>#VALUE!</v>
      </c>
      <c r="L384" s="11"/>
      <c r="O384" s="1" t="s">
        <v>30</v>
      </c>
      <c r="P384" s="2">
        <f>Tabela2[[#This Row],[Proposta
 Inicial]]-Tabela2[[#This Row],[Proposta
 Negociada]]</f>
        <v>0</v>
      </c>
      <c r="Q384" s="4" t="e">
        <f>Tabela2[[#This Row],[Proposta
 Negociada]]/Tabela2[[#This Row],[Proposta
 Inicial]]-1</f>
        <v>#DIV/0!</v>
      </c>
      <c r="S384"/>
    </row>
    <row r="385" spans="1:19" ht="14.45">
      <c r="A385" s="9"/>
      <c r="B385" s="9"/>
      <c r="C385" s="1" t="str">
        <f t="shared" si="12"/>
        <v/>
      </c>
      <c r="I385" s="1" t="str">
        <f>IFERROR(VLOOKUP(H385,SLA_Ref!$A$1:$B$8,2,FALSE),"")</f>
        <v/>
      </c>
      <c r="J385" s="1" t="str">
        <f t="shared" ca="1" si="13"/>
        <v/>
      </c>
      <c r="K385" s="11" t="e">
        <f>Tabela2[[#This Row],[SLA
Padrão]]-Tabela2[[#This Row],[SLA Atendimento]]</f>
        <v>#VALUE!</v>
      </c>
      <c r="L385" s="11"/>
      <c r="O385" s="1" t="s">
        <v>30</v>
      </c>
      <c r="P385" s="2">
        <f>Tabela2[[#This Row],[Proposta
 Inicial]]-Tabela2[[#This Row],[Proposta
 Negociada]]</f>
        <v>0</v>
      </c>
      <c r="Q385" s="4" t="e">
        <f>Tabela2[[#This Row],[Proposta
 Negociada]]/Tabela2[[#This Row],[Proposta
 Inicial]]-1</f>
        <v>#DIV/0!</v>
      </c>
      <c r="S385"/>
    </row>
    <row r="386" spans="1:19" ht="14.45">
      <c r="A386" s="9"/>
      <c r="B386" s="9"/>
      <c r="C386" s="1" t="str">
        <f t="shared" si="12"/>
        <v/>
      </c>
      <c r="I386" s="1" t="str">
        <f>IFERROR(VLOOKUP(H386,SLA_Ref!$A$1:$B$8,2,FALSE),"")</f>
        <v/>
      </c>
      <c r="J386" s="1" t="str">
        <f t="shared" ca="1" si="13"/>
        <v/>
      </c>
      <c r="K386" s="11" t="e">
        <f>Tabela2[[#This Row],[SLA
Padrão]]-Tabela2[[#This Row],[SLA Atendimento]]</f>
        <v>#VALUE!</v>
      </c>
      <c r="L386" s="11"/>
      <c r="O386" s="1" t="s">
        <v>30</v>
      </c>
      <c r="P386" s="2">
        <f>Tabela2[[#This Row],[Proposta
 Inicial]]-Tabela2[[#This Row],[Proposta
 Negociada]]</f>
        <v>0</v>
      </c>
      <c r="Q386" s="4" t="e">
        <f>Tabela2[[#This Row],[Proposta
 Negociada]]/Tabela2[[#This Row],[Proposta
 Inicial]]-1</f>
        <v>#DIV/0!</v>
      </c>
      <c r="S386"/>
    </row>
    <row r="387" spans="1:19" ht="14.45">
      <c r="A387" s="9"/>
      <c r="B387" s="9"/>
      <c r="C387" s="1" t="str">
        <f t="shared" ref="C387:C450" si="14">IF(OR(A387="",B387=""),"",B387-A387)</f>
        <v/>
      </c>
      <c r="I387" s="1" t="str">
        <f>IFERROR(VLOOKUP(H387,SLA_Ref!$A$1:$B$8,2,FALSE),"")</f>
        <v/>
      </c>
      <c r="J387" s="1" t="str">
        <f t="shared" ca="1" si="13"/>
        <v/>
      </c>
      <c r="K387" s="11" t="e">
        <f>Tabela2[[#This Row],[SLA
Padrão]]-Tabela2[[#This Row],[SLA Atendimento]]</f>
        <v>#VALUE!</v>
      </c>
      <c r="L387" s="11"/>
      <c r="O387" s="1" t="s">
        <v>30</v>
      </c>
      <c r="P387" s="2">
        <f>Tabela2[[#This Row],[Proposta
 Inicial]]-Tabela2[[#This Row],[Proposta
 Negociada]]</f>
        <v>0</v>
      </c>
      <c r="Q387" s="4" t="e">
        <f>Tabela2[[#This Row],[Proposta
 Negociada]]/Tabela2[[#This Row],[Proposta
 Inicial]]-1</f>
        <v>#DIV/0!</v>
      </c>
      <c r="S387"/>
    </row>
    <row r="388" spans="1:19" ht="14.45">
      <c r="A388" s="9"/>
      <c r="B388" s="9"/>
      <c r="C388" s="1" t="str">
        <f t="shared" si="14"/>
        <v/>
      </c>
      <c r="I388" s="1" t="str">
        <f>IFERROR(VLOOKUP(H388,SLA_Ref!$A$1:$B$8,2,FALSE),"")</f>
        <v/>
      </c>
      <c r="J388" s="1" t="str">
        <f t="shared" ca="1" si="13"/>
        <v/>
      </c>
      <c r="K388" s="11" t="e">
        <f>Tabela2[[#This Row],[SLA
Padrão]]-Tabela2[[#This Row],[SLA Atendimento]]</f>
        <v>#VALUE!</v>
      </c>
      <c r="L388" s="11"/>
      <c r="O388" s="1" t="s">
        <v>30</v>
      </c>
      <c r="P388" s="2">
        <f>Tabela2[[#This Row],[Proposta
 Inicial]]-Tabela2[[#This Row],[Proposta
 Negociada]]</f>
        <v>0</v>
      </c>
      <c r="Q388" s="4" t="e">
        <f>Tabela2[[#This Row],[Proposta
 Negociada]]/Tabela2[[#This Row],[Proposta
 Inicial]]-1</f>
        <v>#DIV/0!</v>
      </c>
      <c r="S388"/>
    </row>
    <row r="389" spans="1:19" ht="14.45">
      <c r="A389" s="9"/>
      <c r="B389" s="9"/>
      <c r="C389" s="1" t="str">
        <f t="shared" si="14"/>
        <v/>
      </c>
      <c r="I389" s="1" t="str">
        <f>IFERROR(VLOOKUP(H389,SLA_Ref!$A$1:$B$8,2,FALSE),"")</f>
        <v/>
      </c>
      <c r="J389" s="1" t="str">
        <f t="shared" ca="1" si="13"/>
        <v/>
      </c>
      <c r="K389" s="11" t="e">
        <f>Tabela2[[#This Row],[SLA
Padrão]]-Tabela2[[#This Row],[SLA Atendimento]]</f>
        <v>#VALUE!</v>
      </c>
      <c r="L389" s="11"/>
      <c r="O389" s="1" t="s">
        <v>30</v>
      </c>
      <c r="P389" s="2">
        <f>Tabela2[[#This Row],[Proposta
 Inicial]]-Tabela2[[#This Row],[Proposta
 Negociada]]</f>
        <v>0</v>
      </c>
      <c r="Q389" s="4" t="e">
        <f>Tabela2[[#This Row],[Proposta
 Negociada]]/Tabela2[[#This Row],[Proposta
 Inicial]]-1</f>
        <v>#DIV/0!</v>
      </c>
      <c r="S389"/>
    </row>
    <row r="390" spans="1:19" ht="14.45">
      <c r="A390" s="9"/>
      <c r="B390" s="9"/>
      <c r="C390" s="1" t="str">
        <f t="shared" si="14"/>
        <v/>
      </c>
      <c r="I390" s="1" t="str">
        <f>IFERROR(VLOOKUP(H390,SLA_Ref!$A$1:$B$8,2,FALSE),"")</f>
        <v/>
      </c>
      <c r="J390" s="1" t="str">
        <f t="shared" ca="1" si="13"/>
        <v/>
      </c>
      <c r="K390" s="11" t="e">
        <f>Tabela2[[#This Row],[SLA
Padrão]]-Tabela2[[#This Row],[SLA Atendimento]]</f>
        <v>#VALUE!</v>
      </c>
      <c r="L390" s="11"/>
      <c r="O390" s="1" t="s">
        <v>30</v>
      </c>
      <c r="P390" s="2">
        <f>Tabela2[[#This Row],[Proposta
 Inicial]]-Tabela2[[#This Row],[Proposta
 Negociada]]</f>
        <v>0</v>
      </c>
      <c r="Q390" s="4" t="e">
        <f>Tabela2[[#This Row],[Proposta
 Negociada]]/Tabela2[[#This Row],[Proposta
 Inicial]]-1</f>
        <v>#DIV/0!</v>
      </c>
      <c r="S390"/>
    </row>
    <row r="391" spans="1:19" ht="14.45">
      <c r="A391" s="9"/>
      <c r="B391" s="9"/>
      <c r="C391" s="1" t="str">
        <f t="shared" si="14"/>
        <v/>
      </c>
      <c r="I391" s="1" t="str">
        <f>IFERROR(VLOOKUP(H391,SLA_Ref!$A$1:$B$8,2,FALSE),"")</f>
        <v/>
      </c>
      <c r="J391" s="1" t="str">
        <f t="shared" ca="1" si="13"/>
        <v/>
      </c>
      <c r="K391" s="11" t="e">
        <f>Tabela2[[#This Row],[SLA
Padrão]]-Tabela2[[#This Row],[SLA Atendimento]]</f>
        <v>#VALUE!</v>
      </c>
      <c r="L391" s="11"/>
      <c r="O391" s="1" t="s">
        <v>30</v>
      </c>
      <c r="P391" s="2">
        <f>Tabela2[[#This Row],[Proposta
 Inicial]]-Tabela2[[#This Row],[Proposta
 Negociada]]</f>
        <v>0</v>
      </c>
      <c r="Q391" s="4" t="e">
        <f>Tabela2[[#This Row],[Proposta
 Negociada]]/Tabela2[[#This Row],[Proposta
 Inicial]]-1</f>
        <v>#DIV/0!</v>
      </c>
      <c r="S391"/>
    </row>
    <row r="392" spans="1:19" ht="14.45">
      <c r="A392" s="9"/>
      <c r="B392" s="9"/>
      <c r="C392" s="1" t="str">
        <f t="shared" si="14"/>
        <v/>
      </c>
      <c r="I392" s="1" t="str">
        <f>IFERROR(VLOOKUP(H392,SLA_Ref!$A$1:$B$8,2,FALSE),"")</f>
        <v/>
      </c>
      <c r="J392" s="1" t="str">
        <f t="shared" ca="1" si="13"/>
        <v/>
      </c>
      <c r="K392" s="11" t="e">
        <f>Tabela2[[#This Row],[SLA
Padrão]]-Tabela2[[#This Row],[SLA Atendimento]]</f>
        <v>#VALUE!</v>
      </c>
      <c r="L392" s="11"/>
      <c r="O392" s="1" t="s">
        <v>30</v>
      </c>
      <c r="P392" s="2">
        <f>Tabela2[[#This Row],[Proposta
 Inicial]]-Tabela2[[#This Row],[Proposta
 Negociada]]</f>
        <v>0</v>
      </c>
      <c r="Q392" s="4" t="e">
        <f>Tabela2[[#This Row],[Proposta
 Negociada]]/Tabela2[[#This Row],[Proposta
 Inicial]]-1</f>
        <v>#DIV/0!</v>
      </c>
      <c r="S392"/>
    </row>
    <row r="393" spans="1:19" ht="14.45">
      <c r="A393" s="9"/>
      <c r="B393" s="9"/>
      <c r="C393" s="1" t="str">
        <f t="shared" si="14"/>
        <v/>
      </c>
      <c r="I393" s="1" t="str">
        <f>IFERROR(VLOOKUP(H393,SLA_Ref!$A$1:$B$8,2,FALSE),"")</f>
        <v/>
      </c>
      <c r="J393" s="1" t="str">
        <f t="shared" ca="1" si="13"/>
        <v/>
      </c>
      <c r="K393" s="11" t="e">
        <f>Tabela2[[#This Row],[SLA
Padrão]]-Tabela2[[#This Row],[SLA Atendimento]]</f>
        <v>#VALUE!</v>
      </c>
      <c r="L393" s="11"/>
      <c r="O393" s="1" t="s">
        <v>30</v>
      </c>
      <c r="P393" s="2">
        <f>Tabela2[[#This Row],[Proposta
 Inicial]]-Tabela2[[#This Row],[Proposta
 Negociada]]</f>
        <v>0</v>
      </c>
      <c r="Q393" s="4" t="e">
        <f>Tabela2[[#This Row],[Proposta
 Negociada]]/Tabela2[[#This Row],[Proposta
 Inicial]]-1</f>
        <v>#DIV/0!</v>
      </c>
      <c r="S393"/>
    </row>
    <row r="394" spans="1:19" ht="14.45">
      <c r="A394" s="9"/>
      <c r="B394" s="9"/>
      <c r="C394" s="1" t="str">
        <f t="shared" si="14"/>
        <v/>
      </c>
      <c r="I394" s="1" t="str">
        <f>IFERROR(VLOOKUP(H394,SLA_Ref!$A$1:$B$8,2,FALSE),"")</f>
        <v/>
      </c>
      <c r="J394" s="1" t="str">
        <f t="shared" ca="1" si="13"/>
        <v/>
      </c>
      <c r="K394" s="11" t="e">
        <f>Tabela2[[#This Row],[SLA
Padrão]]-Tabela2[[#This Row],[SLA Atendimento]]</f>
        <v>#VALUE!</v>
      </c>
      <c r="L394" s="11"/>
      <c r="O394" s="1" t="s">
        <v>30</v>
      </c>
      <c r="P394" s="2">
        <f>Tabela2[[#This Row],[Proposta
 Inicial]]-Tabela2[[#This Row],[Proposta
 Negociada]]</f>
        <v>0</v>
      </c>
      <c r="Q394" s="4" t="e">
        <f>Tabela2[[#This Row],[Proposta
 Negociada]]/Tabela2[[#This Row],[Proposta
 Inicial]]-1</f>
        <v>#DIV/0!</v>
      </c>
      <c r="S394"/>
    </row>
    <row r="395" spans="1:19" ht="14.45">
      <c r="A395" s="9"/>
      <c r="B395" s="9"/>
      <c r="C395" s="1" t="str">
        <f t="shared" si="14"/>
        <v/>
      </c>
      <c r="I395" s="1" t="str">
        <f>IFERROR(VLOOKUP(H395,SLA_Ref!$A$1:$B$8,2,FALSE),"")</f>
        <v/>
      </c>
      <c r="J395" s="1" t="str">
        <f t="shared" ca="1" si="13"/>
        <v/>
      </c>
      <c r="K395" s="11" t="e">
        <f>Tabela2[[#This Row],[SLA
Padrão]]-Tabela2[[#This Row],[SLA Atendimento]]</f>
        <v>#VALUE!</v>
      </c>
      <c r="L395" s="11"/>
      <c r="O395" s="1" t="s">
        <v>30</v>
      </c>
      <c r="P395" s="2">
        <f>Tabela2[[#This Row],[Proposta
 Inicial]]-Tabela2[[#This Row],[Proposta
 Negociada]]</f>
        <v>0</v>
      </c>
      <c r="Q395" s="4" t="e">
        <f>Tabela2[[#This Row],[Proposta
 Negociada]]/Tabela2[[#This Row],[Proposta
 Inicial]]-1</f>
        <v>#DIV/0!</v>
      </c>
      <c r="S395"/>
    </row>
    <row r="396" spans="1:19" ht="14.45">
      <c r="A396" s="9"/>
      <c r="B396" s="9"/>
      <c r="C396" s="1" t="str">
        <f t="shared" si="14"/>
        <v/>
      </c>
      <c r="I396" s="1" t="str">
        <f>IFERROR(VLOOKUP(H396,SLA_Ref!$A$1:$B$8,2,FALSE),"")</f>
        <v/>
      </c>
      <c r="J396" s="1" t="str">
        <f t="shared" ca="1" si="13"/>
        <v/>
      </c>
      <c r="K396" s="11" t="e">
        <f>Tabela2[[#This Row],[SLA
Padrão]]-Tabela2[[#This Row],[SLA Atendimento]]</f>
        <v>#VALUE!</v>
      </c>
      <c r="L396" s="11"/>
      <c r="O396" s="1" t="s">
        <v>30</v>
      </c>
      <c r="P396" s="2">
        <f>Tabela2[[#This Row],[Proposta
 Inicial]]-Tabela2[[#This Row],[Proposta
 Negociada]]</f>
        <v>0</v>
      </c>
      <c r="Q396" s="4" t="e">
        <f>Tabela2[[#This Row],[Proposta
 Negociada]]/Tabela2[[#This Row],[Proposta
 Inicial]]-1</f>
        <v>#DIV/0!</v>
      </c>
      <c r="S396"/>
    </row>
    <row r="397" spans="1:19" ht="14.45">
      <c r="A397" s="9"/>
      <c r="B397" s="9"/>
      <c r="C397" s="1" t="str">
        <f t="shared" si="14"/>
        <v/>
      </c>
      <c r="I397" s="1" t="str">
        <f>IFERROR(VLOOKUP(H397,SLA_Ref!$A$1:$B$8,2,FALSE),"")</f>
        <v/>
      </c>
      <c r="J397" s="1" t="str">
        <f t="shared" ca="1" si="13"/>
        <v/>
      </c>
      <c r="K397" s="11" t="e">
        <f>Tabela2[[#This Row],[SLA
Padrão]]-Tabela2[[#This Row],[SLA Atendimento]]</f>
        <v>#VALUE!</v>
      </c>
      <c r="L397" s="11"/>
      <c r="O397" s="1" t="s">
        <v>30</v>
      </c>
      <c r="P397" s="2">
        <f>Tabela2[[#This Row],[Proposta
 Inicial]]-Tabela2[[#This Row],[Proposta
 Negociada]]</f>
        <v>0</v>
      </c>
      <c r="Q397" s="4" t="e">
        <f>Tabela2[[#This Row],[Proposta
 Negociada]]/Tabela2[[#This Row],[Proposta
 Inicial]]-1</f>
        <v>#DIV/0!</v>
      </c>
      <c r="S397"/>
    </row>
    <row r="398" spans="1:19" ht="14.45">
      <c r="A398" s="9"/>
      <c r="B398" s="9"/>
      <c r="C398" s="1" t="str">
        <f t="shared" si="14"/>
        <v/>
      </c>
      <c r="I398" s="1" t="str">
        <f>IFERROR(VLOOKUP(H398,SLA_Ref!$A$1:$B$8,2,FALSE),"")</f>
        <v/>
      </c>
      <c r="J398" s="1" t="str">
        <f t="shared" ca="1" si="13"/>
        <v/>
      </c>
      <c r="K398" s="11" t="e">
        <f>Tabela2[[#This Row],[SLA
Padrão]]-Tabela2[[#This Row],[SLA Atendimento]]</f>
        <v>#VALUE!</v>
      </c>
      <c r="L398" s="11"/>
      <c r="O398" s="1" t="s">
        <v>30</v>
      </c>
      <c r="P398" s="2">
        <f>Tabela2[[#This Row],[Proposta
 Inicial]]-Tabela2[[#This Row],[Proposta
 Negociada]]</f>
        <v>0</v>
      </c>
      <c r="Q398" s="4" t="e">
        <f>Tabela2[[#This Row],[Proposta
 Negociada]]/Tabela2[[#This Row],[Proposta
 Inicial]]-1</f>
        <v>#DIV/0!</v>
      </c>
      <c r="S398"/>
    </row>
    <row r="399" spans="1:19" ht="14.45">
      <c r="A399" s="9"/>
      <c r="B399" s="9"/>
      <c r="C399" s="1" t="str">
        <f t="shared" si="14"/>
        <v/>
      </c>
      <c r="I399" s="1" t="str">
        <f>IFERROR(VLOOKUP(H399,SLA_Ref!$A$1:$B$8,2,FALSE),"")</f>
        <v/>
      </c>
      <c r="J399" s="1" t="str">
        <f t="shared" ca="1" si="13"/>
        <v/>
      </c>
      <c r="K399" s="11" t="e">
        <f>Tabela2[[#This Row],[SLA
Padrão]]-Tabela2[[#This Row],[SLA Atendimento]]</f>
        <v>#VALUE!</v>
      </c>
      <c r="L399" s="11"/>
      <c r="O399" s="1" t="s">
        <v>30</v>
      </c>
      <c r="P399" s="2">
        <f>Tabela2[[#This Row],[Proposta
 Inicial]]-Tabela2[[#This Row],[Proposta
 Negociada]]</f>
        <v>0</v>
      </c>
      <c r="Q399" s="4" t="e">
        <f>Tabela2[[#This Row],[Proposta
 Negociada]]/Tabela2[[#This Row],[Proposta
 Inicial]]-1</f>
        <v>#DIV/0!</v>
      </c>
      <c r="S399"/>
    </row>
    <row r="400" spans="1:19" ht="14.45">
      <c r="A400" s="9"/>
      <c r="B400" s="9"/>
      <c r="C400" s="1" t="str">
        <f t="shared" si="14"/>
        <v/>
      </c>
      <c r="I400" s="1" t="str">
        <f>IFERROR(VLOOKUP(H400,SLA_Ref!$A$1:$B$8,2,FALSE),"")</f>
        <v/>
      </c>
      <c r="J400" s="1" t="str">
        <f t="shared" ca="1" si="13"/>
        <v/>
      </c>
      <c r="K400" s="11" t="e">
        <f>Tabela2[[#This Row],[SLA
Padrão]]-Tabela2[[#This Row],[SLA Atendimento]]</f>
        <v>#VALUE!</v>
      </c>
      <c r="L400" s="11"/>
      <c r="O400" s="1" t="s">
        <v>30</v>
      </c>
      <c r="P400" s="2">
        <f>Tabela2[[#This Row],[Proposta
 Inicial]]-Tabela2[[#This Row],[Proposta
 Negociada]]</f>
        <v>0</v>
      </c>
      <c r="Q400" s="4" t="e">
        <f>Tabela2[[#This Row],[Proposta
 Negociada]]/Tabela2[[#This Row],[Proposta
 Inicial]]-1</f>
        <v>#DIV/0!</v>
      </c>
      <c r="S400"/>
    </row>
    <row r="401" spans="1:19" ht="14.45">
      <c r="A401" s="9"/>
      <c r="B401" s="9"/>
      <c r="C401" s="1" t="str">
        <f t="shared" si="14"/>
        <v/>
      </c>
      <c r="I401" s="1" t="str">
        <f>IFERROR(VLOOKUP(H401,SLA_Ref!$A$1:$B$8,2,FALSE),"")</f>
        <v/>
      </c>
      <c r="J401" s="1" t="str">
        <f t="shared" ca="1" si="13"/>
        <v/>
      </c>
      <c r="K401" s="11" t="e">
        <f>Tabela2[[#This Row],[SLA
Padrão]]-Tabela2[[#This Row],[SLA Atendimento]]</f>
        <v>#VALUE!</v>
      </c>
      <c r="L401" s="11"/>
      <c r="O401" s="1" t="s">
        <v>30</v>
      </c>
      <c r="P401" s="2">
        <f>Tabela2[[#This Row],[Proposta
 Inicial]]-Tabela2[[#This Row],[Proposta
 Negociada]]</f>
        <v>0</v>
      </c>
      <c r="Q401" s="4" t="e">
        <f>Tabela2[[#This Row],[Proposta
 Negociada]]/Tabela2[[#This Row],[Proposta
 Inicial]]-1</f>
        <v>#DIV/0!</v>
      </c>
      <c r="S401"/>
    </row>
    <row r="402" spans="1:19" ht="14.45">
      <c r="A402" s="9"/>
      <c r="B402" s="9"/>
      <c r="C402" s="1" t="str">
        <f t="shared" si="14"/>
        <v/>
      </c>
      <c r="I402" s="1" t="str">
        <f>IFERROR(VLOOKUP(H402,SLA_Ref!$A$1:$B$8,2,FALSE),"")</f>
        <v/>
      </c>
      <c r="J402" s="1" t="str">
        <f t="shared" ca="1" si="13"/>
        <v/>
      </c>
      <c r="K402" s="11" t="e">
        <f>Tabela2[[#This Row],[SLA
Padrão]]-Tabela2[[#This Row],[SLA Atendimento]]</f>
        <v>#VALUE!</v>
      </c>
      <c r="L402" s="11"/>
      <c r="O402" s="1" t="s">
        <v>30</v>
      </c>
      <c r="P402" s="2">
        <f>Tabela2[[#This Row],[Proposta
 Inicial]]-Tabela2[[#This Row],[Proposta
 Negociada]]</f>
        <v>0</v>
      </c>
      <c r="Q402" s="4" t="e">
        <f>Tabela2[[#This Row],[Proposta
 Negociada]]/Tabela2[[#This Row],[Proposta
 Inicial]]-1</f>
        <v>#DIV/0!</v>
      </c>
      <c r="S402"/>
    </row>
    <row r="403" spans="1:19" ht="14.45">
      <c r="A403" s="9"/>
      <c r="B403" s="9"/>
      <c r="C403" s="1" t="str">
        <f t="shared" si="14"/>
        <v/>
      </c>
      <c r="I403" s="1" t="str">
        <f>IFERROR(VLOOKUP(H403,SLA_Ref!$A$1:$B$8,2,FALSE),"")</f>
        <v/>
      </c>
      <c r="J403" s="1" t="str">
        <f t="shared" ca="1" si="13"/>
        <v/>
      </c>
      <c r="K403" s="11" t="e">
        <f>Tabela2[[#This Row],[SLA
Padrão]]-Tabela2[[#This Row],[SLA Atendimento]]</f>
        <v>#VALUE!</v>
      </c>
      <c r="L403" s="11"/>
      <c r="O403" s="1" t="s">
        <v>30</v>
      </c>
      <c r="P403" s="2">
        <f>Tabela2[[#This Row],[Proposta
 Inicial]]-Tabela2[[#This Row],[Proposta
 Negociada]]</f>
        <v>0</v>
      </c>
      <c r="Q403" s="4" t="e">
        <f>Tabela2[[#This Row],[Proposta
 Negociada]]/Tabela2[[#This Row],[Proposta
 Inicial]]-1</f>
        <v>#DIV/0!</v>
      </c>
      <c r="S403"/>
    </row>
    <row r="404" spans="1:19" ht="14.45">
      <c r="A404" s="9"/>
      <c r="B404" s="9"/>
      <c r="C404" s="1" t="str">
        <f t="shared" si="14"/>
        <v/>
      </c>
      <c r="I404" s="1" t="str">
        <f>IFERROR(VLOOKUP(H404,SLA_Ref!$A$1:$B$8,2,FALSE),"")</f>
        <v/>
      </c>
      <c r="J404" s="1" t="str">
        <f t="shared" ca="1" si="13"/>
        <v/>
      </c>
      <c r="K404" s="11" t="e">
        <f>Tabela2[[#This Row],[SLA
Padrão]]-Tabela2[[#This Row],[SLA Atendimento]]</f>
        <v>#VALUE!</v>
      </c>
      <c r="L404" s="11"/>
      <c r="O404" s="1" t="s">
        <v>30</v>
      </c>
      <c r="P404" s="2">
        <f>Tabela2[[#This Row],[Proposta
 Inicial]]-Tabela2[[#This Row],[Proposta
 Negociada]]</f>
        <v>0</v>
      </c>
      <c r="Q404" s="4" t="e">
        <f>Tabela2[[#This Row],[Proposta
 Negociada]]/Tabela2[[#This Row],[Proposta
 Inicial]]-1</f>
        <v>#DIV/0!</v>
      </c>
      <c r="S404"/>
    </row>
    <row r="405" spans="1:19" ht="14.45">
      <c r="A405" s="9"/>
      <c r="B405" s="9"/>
      <c r="C405" s="1" t="str">
        <f t="shared" si="14"/>
        <v/>
      </c>
      <c r="I405" s="1" t="str">
        <f>IFERROR(VLOOKUP(H405,SLA_Ref!$A$1:$B$8,2,FALSE),"")</f>
        <v/>
      </c>
      <c r="J405" s="1" t="str">
        <f t="shared" ca="1" si="13"/>
        <v/>
      </c>
      <c r="K405" s="11" t="e">
        <f>Tabela2[[#This Row],[SLA
Padrão]]-Tabela2[[#This Row],[SLA Atendimento]]</f>
        <v>#VALUE!</v>
      </c>
      <c r="L405" s="11"/>
      <c r="O405" s="1" t="s">
        <v>30</v>
      </c>
      <c r="P405" s="2">
        <f>Tabela2[[#This Row],[Proposta
 Inicial]]-Tabela2[[#This Row],[Proposta
 Negociada]]</f>
        <v>0</v>
      </c>
      <c r="Q405" s="4" t="e">
        <f>Tabela2[[#This Row],[Proposta
 Negociada]]/Tabela2[[#This Row],[Proposta
 Inicial]]-1</f>
        <v>#DIV/0!</v>
      </c>
      <c r="S405"/>
    </row>
    <row r="406" spans="1:19" ht="14.45">
      <c r="A406" s="9"/>
      <c r="B406" s="9"/>
      <c r="C406" s="1" t="str">
        <f t="shared" si="14"/>
        <v/>
      </c>
      <c r="I406" s="1" t="str">
        <f>IFERROR(VLOOKUP(H406,SLA_Ref!$A$1:$B$8,2,FALSE),"")</f>
        <v/>
      </c>
      <c r="J406" s="1" t="str">
        <f t="shared" ca="1" si="13"/>
        <v/>
      </c>
      <c r="K406" s="11" t="e">
        <f>Tabela2[[#This Row],[SLA
Padrão]]-Tabela2[[#This Row],[SLA Atendimento]]</f>
        <v>#VALUE!</v>
      </c>
      <c r="L406" s="11"/>
      <c r="O406" s="1" t="s">
        <v>30</v>
      </c>
      <c r="P406" s="2">
        <f>Tabela2[[#This Row],[Proposta
 Inicial]]-Tabela2[[#This Row],[Proposta
 Negociada]]</f>
        <v>0</v>
      </c>
      <c r="Q406" s="4" t="e">
        <f>Tabela2[[#This Row],[Proposta
 Negociada]]/Tabela2[[#This Row],[Proposta
 Inicial]]-1</f>
        <v>#DIV/0!</v>
      </c>
      <c r="S406"/>
    </row>
    <row r="407" spans="1:19" ht="14.45">
      <c r="A407" s="9"/>
      <c r="B407" s="9"/>
      <c r="C407" s="1" t="str">
        <f t="shared" si="14"/>
        <v/>
      </c>
      <c r="I407" s="1" t="str">
        <f>IFERROR(VLOOKUP(H407,SLA_Ref!$A$1:$B$8,2,FALSE),"")</f>
        <v/>
      </c>
      <c r="J407" s="1" t="str">
        <f t="shared" ca="1" si="13"/>
        <v/>
      </c>
      <c r="K407" s="11" t="e">
        <f>Tabela2[[#This Row],[SLA
Padrão]]-Tabela2[[#This Row],[SLA Atendimento]]</f>
        <v>#VALUE!</v>
      </c>
      <c r="L407" s="11"/>
      <c r="O407" s="1" t="s">
        <v>30</v>
      </c>
      <c r="P407" s="2">
        <f>Tabela2[[#This Row],[Proposta
 Inicial]]-Tabela2[[#This Row],[Proposta
 Negociada]]</f>
        <v>0</v>
      </c>
      <c r="Q407" s="4" t="e">
        <f>Tabela2[[#This Row],[Proposta
 Negociada]]/Tabela2[[#This Row],[Proposta
 Inicial]]-1</f>
        <v>#DIV/0!</v>
      </c>
      <c r="S407"/>
    </row>
    <row r="408" spans="1:19" ht="14.45">
      <c r="A408" s="9"/>
      <c r="B408" s="9"/>
      <c r="C408" s="1" t="str">
        <f t="shared" si="14"/>
        <v/>
      </c>
      <c r="I408" s="1" t="str">
        <f>IFERROR(VLOOKUP(H408,SLA_Ref!$A$1:$B$8,2,FALSE),"")</f>
        <v/>
      </c>
      <c r="J408" s="1" t="str">
        <f t="shared" ca="1" si="13"/>
        <v/>
      </c>
      <c r="K408" s="11" t="e">
        <f>Tabela2[[#This Row],[SLA
Padrão]]-Tabela2[[#This Row],[SLA Atendimento]]</f>
        <v>#VALUE!</v>
      </c>
      <c r="L408" s="11"/>
      <c r="O408" s="1" t="s">
        <v>30</v>
      </c>
      <c r="P408" s="2">
        <f>Tabela2[[#This Row],[Proposta
 Inicial]]-Tabela2[[#This Row],[Proposta
 Negociada]]</f>
        <v>0</v>
      </c>
      <c r="Q408" s="4" t="e">
        <f>Tabela2[[#This Row],[Proposta
 Negociada]]/Tabela2[[#This Row],[Proposta
 Inicial]]-1</f>
        <v>#DIV/0!</v>
      </c>
      <c r="S408"/>
    </row>
    <row r="409" spans="1:19" ht="14.45">
      <c r="A409" s="9"/>
      <c r="B409" s="9"/>
      <c r="C409" s="1" t="str">
        <f t="shared" si="14"/>
        <v/>
      </c>
      <c r="I409" s="1" t="str">
        <f>IFERROR(VLOOKUP(H409,SLA_Ref!$A$1:$B$8,2,FALSE),"")</f>
        <v/>
      </c>
      <c r="J409" s="1" t="str">
        <f t="shared" ca="1" si="13"/>
        <v/>
      </c>
      <c r="K409" s="11" t="e">
        <f>Tabela2[[#This Row],[SLA
Padrão]]-Tabela2[[#This Row],[SLA Atendimento]]</f>
        <v>#VALUE!</v>
      </c>
      <c r="L409" s="11"/>
      <c r="O409" s="1" t="s">
        <v>30</v>
      </c>
      <c r="P409" s="2">
        <f>Tabela2[[#This Row],[Proposta
 Inicial]]-Tabela2[[#This Row],[Proposta
 Negociada]]</f>
        <v>0</v>
      </c>
      <c r="Q409" s="4" t="e">
        <f>Tabela2[[#This Row],[Proposta
 Negociada]]/Tabela2[[#This Row],[Proposta
 Inicial]]-1</f>
        <v>#DIV/0!</v>
      </c>
      <c r="S409"/>
    </row>
    <row r="410" spans="1:19" ht="14.45">
      <c r="A410" s="9"/>
      <c r="B410" s="9"/>
      <c r="C410" s="1" t="str">
        <f t="shared" si="14"/>
        <v/>
      </c>
      <c r="I410" s="1" t="str">
        <f>IFERROR(VLOOKUP(H410,SLA_Ref!$A$1:$B$8,2,FALSE),"")</f>
        <v/>
      </c>
      <c r="J410" s="1" t="str">
        <f t="shared" ca="1" si="13"/>
        <v/>
      </c>
      <c r="K410" s="11" t="e">
        <f>Tabela2[[#This Row],[SLA
Padrão]]-Tabela2[[#This Row],[SLA Atendimento]]</f>
        <v>#VALUE!</v>
      </c>
      <c r="L410" s="11"/>
      <c r="O410" s="1" t="s">
        <v>30</v>
      </c>
      <c r="P410" s="2">
        <f>Tabela2[[#This Row],[Proposta
 Inicial]]-Tabela2[[#This Row],[Proposta
 Negociada]]</f>
        <v>0</v>
      </c>
      <c r="Q410" s="4" t="e">
        <f>Tabela2[[#This Row],[Proposta
 Negociada]]/Tabela2[[#This Row],[Proposta
 Inicial]]-1</f>
        <v>#DIV/0!</v>
      </c>
      <c r="S410"/>
    </row>
    <row r="411" spans="1:19" ht="14.45">
      <c r="A411" s="9"/>
      <c r="B411" s="9"/>
      <c r="C411" s="1" t="str">
        <f t="shared" si="14"/>
        <v/>
      </c>
      <c r="I411" s="1" t="str">
        <f>IFERROR(VLOOKUP(H411,SLA_Ref!$A$1:$B$8,2,FALSE),"")</f>
        <v/>
      </c>
      <c r="J411" s="1" t="str">
        <f t="shared" ca="1" si="13"/>
        <v/>
      </c>
      <c r="K411" s="11" t="e">
        <f>Tabela2[[#This Row],[SLA
Padrão]]-Tabela2[[#This Row],[SLA Atendimento]]</f>
        <v>#VALUE!</v>
      </c>
      <c r="L411" s="11"/>
      <c r="O411" s="1" t="s">
        <v>30</v>
      </c>
      <c r="P411" s="2">
        <f>Tabela2[[#This Row],[Proposta
 Inicial]]-Tabela2[[#This Row],[Proposta
 Negociada]]</f>
        <v>0</v>
      </c>
      <c r="Q411" s="4" t="e">
        <f>Tabela2[[#This Row],[Proposta
 Negociada]]/Tabela2[[#This Row],[Proposta
 Inicial]]-1</f>
        <v>#DIV/0!</v>
      </c>
      <c r="S411"/>
    </row>
    <row r="412" spans="1:19" ht="14.45">
      <c r="A412" s="9"/>
      <c r="B412" s="9"/>
      <c r="C412" s="1" t="str">
        <f t="shared" si="14"/>
        <v/>
      </c>
      <c r="I412" s="1" t="str">
        <f>IFERROR(VLOOKUP(H412,SLA_Ref!$A$1:$B$8,2,FALSE),"")</f>
        <v/>
      </c>
      <c r="J412" s="1" t="str">
        <f t="shared" ca="1" si="13"/>
        <v/>
      </c>
      <c r="K412" s="11" t="e">
        <f>Tabela2[[#This Row],[SLA
Padrão]]-Tabela2[[#This Row],[SLA Atendimento]]</f>
        <v>#VALUE!</v>
      </c>
      <c r="L412" s="11"/>
      <c r="O412" s="1" t="s">
        <v>30</v>
      </c>
      <c r="P412" s="2">
        <f>Tabela2[[#This Row],[Proposta
 Inicial]]-Tabela2[[#This Row],[Proposta
 Negociada]]</f>
        <v>0</v>
      </c>
      <c r="Q412" s="4" t="e">
        <f>Tabela2[[#This Row],[Proposta
 Negociada]]/Tabela2[[#This Row],[Proposta
 Inicial]]-1</f>
        <v>#DIV/0!</v>
      </c>
      <c r="S412"/>
    </row>
    <row r="413" spans="1:19" ht="14.45">
      <c r="A413" s="9"/>
      <c r="B413" s="9"/>
      <c r="C413" s="1" t="str">
        <f t="shared" si="14"/>
        <v/>
      </c>
      <c r="I413" s="1" t="str">
        <f>IFERROR(VLOOKUP(H413,SLA_Ref!$A$1:$B$8,2,FALSE),"")</f>
        <v/>
      </c>
      <c r="J413" s="1" t="str">
        <f t="shared" ca="1" si="13"/>
        <v/>
      </c>
      <c r="K413" s="11" t="e">
        <f>Tabela2[[#This Row],[SLA
Padrão]]-Tabela2[[#This Row],[SLA Atendimento]]</f>
        <v>#VALUE!</v>
      </c>
      <c r="L413" s="11"/>
      <c r="O413" s="1" t="s">
        <v>30</v>
      </c>
      <c r="P413" s="2">
        <f>Tabela2[[#This Row],[Proposta
 Inicial]]-Tabela2[[#This Row],[Proposta
 Negociada]]</f>
        <v>0</v>
      </c>
      <c r="Q413" s="4" t="e">
        <f>Tabela2[[#This Row],[Proposta
 Negociada]]/Tabela2[[#This Row],[Proposta
 Inicial]]-1</f>
        <v>#DIV/0!</v>
      </c>
      <c r="S413"/>
    </row>
    <row r="414" spans="1:19" ht="14.45">
      <c r="A414" s="9"/>
      <c r="B414" s="9"/>
      <c r="C414" s="1" t="str">
        <f t="shared" si="14"/>
        <v/>
      </c>
      <c r="I414" s="1" t="str">
        <f>IFERROR(VLOOKUP(H414,SLA_Ref!$A$1:$B$8,2,FALSE),"")</f>
        <v/>
      </c>
      <c r="J414" s="1" t="str">
        <f t="shared" ca="1" si="13"/>
        <v/>
      </c>
      <c r="K414" s="11" t="e">
        <f>Tabela2[[#This Row],[SLA
Padrão]]-Tabela2[[#This Row],[SLA Atendimento]]</f>
        <v>#VALUE!</v>
      </c>
      <c r="L414" s="11"/>
      <c r="O414" s="1" t="s">
        <v>30</v>
      </c>
      <c r="P414" s="2">
        <f>Tabela2[[#This Row],[Proposta
 Inicial]]-Tabela2[[#This Row],[Proposta
 Negociada]]</f>
        <v>0</v>
      </c>
      <c r="Q414" s="4" t="e">
        <f>Tabela2[[#This Row],[Proposta
 Negociada]]/Tabela2[[#This Row],[Proposta
 Inicial]]-1</f>
        <v>#DIV/0!</v>
      </c>
      <c r="S414"/>
    </row>
    <row r="415" spans="1:19" ht="14.45">
      <c r="A415" s="9"/>
      <c r="B415" s="9"/>
      <c r="C415" s="1" t="str">
        <f t="shared" si="14"/>
        <v/>
      </c>
      <c r="I415" s="1" t="str">
        <f>IFERROR(VLOOKUP(H415,SLA_Ref!$A$1:$B$8,2,FALSE),"")</f>
        <v/>
      </c>
      <c r="J415" s="1" t="str">
        <f t="shared" ca="1" si="13"/>
        <v/>
      </c>
      <c r="K415" s="11" t="e">
        <f>Tabela2[[#This Row],[SLA
Padrão]]-Tabela2[[#This Row],[SLA Atendimento]]</f>
        <v>#VALUE!</v>
      </c>
      <c r="L415" s="11"/>
      <c r="O415" s="1" t="s">
        <v>30</v>
      </c>
      <c r="P415" s="2">
        <f>Tabela2[[#This Row],[Proposta
 Inicial]]-Tabela2[[#This Row],[Proposta
 Negociada]]</f>
        <v>0</v>
      </c>
      <c r="Q415" s="4" t="e">
        <f>Tabela2[[#This Row],[Proposta
 Negociada]]/Tabela2[[#This Row],[Proposta
 Inicial]]-1</f>
        <v>#DIV/0!</v>
      </c>
      <c r="S415"/>
    </row>
    <row r="416" spans="1:19" ht="14.45">
      <c r="A416" s="9"/>
      <c r="B416" s="9"/>
      <c r="C416" s="1" t="str">
        <f t="shared" si="14"/>
        <v/>
      </c>
      <c r="I416" s="1" t="str">
        <f>IFERROR(VLOOKUP(H416,SLA_Ref!$A$1:$B$8,2,FALSE),"")</f>
        <v/>
      </c>
      <c r="J416" s="1" t="str">
        <f t="shared" ca="1" si="13"/>
        <v/>
      </c>
      <c r="K416" s="11" t="e">
        <f>Tabela2[[#This Row],[SLA
Padrão]]-Tabela2[[#This Row],[SLA Atendimento]]</f>
        <v>#VALUE!</v>
      </c>
      <c r="L416" s="11"/>
      <c r="O416" s="1" t="s">
        <v>30</v>
      </c>
      <c r="P416" s="2">
        <f>Tabela2[[#This Row],[Proposta
 Inicial]]-Tabela2[[#This Row],[Proposta
 Negociada]]</f>
        <v>0</v>
      </c>
      <c r="Q416" s="4" t="e">
        <f>Tabela2[[#This Row],[Proposta
 Negociada]]/Tabela2[[#This Row],[Proposta
 Inicial]]-1</f>
        <v>#DIV/0!</v>
      </c>
      <c r="S416"/>
    </row>
    <row r="417" spans="1:19" ht="14.45">
      <c r="A417" s="9"/>
      <c r="B417" s="9"/>
      <c r="C417" s="1" t="str">
        <f t="shared" si="14"/>
        <v/>
      </c>
      <c r="I417" s="1" t="str">
        <f>IFERROR(VLOOKUP(H417,SLA_Ref!$A$1:$B$8,2,FALSE),"")</f>
        <v/>
      </c>
      <c r="J417" s="1" t="str">
        <f t="shared" ca="1" si="13"/>
        <v/>
      </c>
      <c r="K417" s="11" t="e">
        <f>Tabela2[[#This Row],[SLA
Padrão]]-Tabela2[[#This Row],[SLA Atendimento]]</f>
        <v>#VALUE!</v>
      </c>
      <c r="L417" s="11"/>
      <c r="O417" s="1" t="s">
        <v>30</v>
      </c>
      <c r="P417" s="2">
        <f>Tabela2[[#This Row],[Proposta
 Inicial]]-Tabela2[[#This Row],[Proposta
 Negociada]]</f>
        <v>0</v>
      </c>
      <c r="Q417" s="4" t="e">
        <f>Tabela2[[#This Row],[Proposta
 Negociada]]/Tabela2[[#This Row],[Proposta
 Inicial]]-1</f>
        <v>#DIV/0!</v>
      </c>
      <c r="S417"/>
    </row>
    <row r="418" spans="1:19" ht="14.45">
      <c r="A418" s="9"/>
      <c r="B418" s="9"/>
      <c r="C418" s="1" t="str">
        <f t="shared" si="14"/>
        <v/>
      </c>
      <c r="I418" s="1" t="str">
        <f>IFERROR(VLOOKUP(H418,SLA_Ref!$A$1:$B$8,2,FALSE),"")</f>
        <v/>
      </c>
      <c r="J418" s="1" t="str">
        <f t="shared" ca="1" si="13"/>
        <v/>
      </c>
      <c r="K418" s="11" t="e">
        <f>Tabela2[[#This Row],[SLA
Padrão]]-Tabela2[[#This Row],[SLA Atendimento]]</f>
        <v>#VALUE!</v>
      </c>
      <c r="L418" s="11"/>
      <c r="O418" s="1" t="s">
        <v>30</v>
      </c>
      <c r="P418" s="2">
        <f>Tabela2[[#This Row],[Proposta
 Inicial]]-Tabela2[[#This Row],[Proposta
 Negociada]]</f>
        <v>0</v>
      </c>
      <c r="Q418" s="4" t="e">
        <f>Tabela2[[#This Row],[Proposta
 Negociada]]/Tabela2[[#This Row],[Proposta
 Inicial]]-1</f>
        <v>#DIV/0!</v>
      </c>
      <c r="S418"/>
    </row>
    <row r="419" spans="1:19" ht="14.45">
      <c r="A419" s="9"/>
      <c r="B419" s="9"/>
      <c r="C419" s="1" t="str">
        <f t="shared" si="14"/>
        <v/>
      </c>
      <c r="I419" s="1" t="str">
        <f>IFERROR(VLOOKUP(H419,SLA_Ref!$A$1:$B$8,2,FALSE),"")</f>
        <v/>
      </c>
      <c r="J419" s="1" t="str">
        <f t="shared" ca="1" si="13"/>
        <v/>
      </c>
      <c r="K419" s="11" t="e">
        <f>Tabela2[[#This Row],[SLA
Padrão]]-Tabela2[[#This Row],[SLA Atendimento]]</f>
        <v>#VALUE!</v>
      </c>
      <c r="L419" s="11"/>
      <c r="O419" s="1" t="s">
        <v>30</v>
      </c>
      <c r="P419" s="2">
        <f>Tabela2[[#This Row],[Proposta
 Inicial]]-Tabela2[[#This Row],[Proposta
 Negociada]]</f>
        <v>0</v>
      </c>
      <c r="Q419" s="4" t="e">
        <f>Tabela2[[#This Row],[Proposta
 Negociada]]/Tabela2[[#This Row],[Proposta
 Inicial]]-1</f>
        <v>#DIV/0!</v>
      </c>
      <c r="S419"/>
    </row>
    <row r="420" spans="1:19" ht="14.45">
      <c r="A420" s="9"/>
      <c r="B420" s="9"/>
      <c r="C420" s="1" t="str">
        <f t="shared" si="14"/>
        <v/>
      </c>
      <c r="I420" s="1" t="str">
        <f>IFERROR(VLOOKUP(H420,SLA_Ref!$A$1:$B$8,2,FALSE),"")</f>
        <v/>
      </c>
      <c r="J420" s="1" t="str">
        <f t="shared" ca="1" si="13"/>
        <v/>
      </c>
      <c r="K420" s="11" t="e">
        <f>Tabela2[[#This Row],[SLA
Padrão]]-Tabela2[[#This Row],[SLA Atendimento]]</f>
        <v>#VALUE!</v>
      </c>
      <c r="L420" s="11"/>
      <c r="O420" s="1" t="s">
        <v>30</v>
      </c>
      <c r="P420" s="2">
        <f>Tabela2[[#This Row],[Proposta
 Inicial]]-Tabela2[[#This Row],[Proposta
 Negociada]]</f>
        <v>0</v>
      </c>
      <c r="Q420" s="4" t="e">
        <f>Tabela2[[#This Row],[Proposta
 Negociada]]/Tabela2[[#This Row],[Proposta
 Inicial]]-1</f>
        <v>#DIV/0!</v>
      </c>
      <c r="S420"/>
    </row>
    <row r="421" spans="1:19" ht="14.45">
      <c r="A421" s="9"/>
      <c r="B421" s="9"/>
      <c r="C421" s="1" t="str">
        <f t="shared" si="14"/>
        <v/>
      </c>
      <c r="I421" s="1" t="str">
        <f>IFERROR(VLOOKUP(H421,SLA_Ref!$A$1:$B$8,2,FALSE),"")</f>
        <v/>
      </c>
      <c r="J421" s="1" t="str">
        <f t="shared" ca="1" si="13"/>
        <v/>
      </c>
      <c r="K421" s="11" t="e">
        <f>Tabela2[[#This Row],[SLA
Padrão]]-Tabela2[[#This Row],[SLA Atendimento]]</f>
        <v>#VALUE!</v>
      </c>
      <c r="L421" s="11"/>
      <c r="O421" s="1" t="s">
        <v>30</v>
      </c>
      <c r="P421" s="2">
        <f>Tabela2[[#This Row],[Proposta
 Inicial]]-Tabela2[[#This Row],[Proposta
 Negociada]]</f>
        <v>0</v>
      </c>
      <c r="Q421" s="4" t="e">
        <f>Tabela2[[#This Row],[Proposta
 Negociada]]/Tabela2[[#This Row],[Proposta
 Inicial]]-1</f>
        <v>#DIV/0!</v>
      </c>
      <c r="S421"/>
    </row>
    <row r="422" spans="1:19" ht="14.45">
      <c r="A422" s="9"/>
      <c r="B422" s="9"/>
      <c r="C422" s="1" t="str">
        <f t="shared" si="14"/>
        <v/>
      </c>
      <c r="I422" s="1" t="str">
        <f>IFERROR(VLOOKUP(H422,SLA_Ref!$A$1:$B$8,2,FALSE),"")</f>
        <v/>
      </c>
      <c r="J422" s="1" t="str">
        <f t="shared" ca="1" si="13"/>
        <v/>
      </c>
      <c r="K422" s="11" t="e">
        <f>Tabela2[[#This Row],[SLA
Padrão]]-Tabela2[[#This Row],[SLA Atendimento]]</f>
        <v>#VALUE!</v>
      </c>
      <c r="L422" s="11"/>
      <c r="O422" s="1" t="s">
        <v>30</v>
      </c>
      <c r="P422" s="2">
        <f>Tabela2[[#This Row],[Proposta
 Inicial]]-Tabela2[[#This Row],[Proposta
 Negociada]]</f>
        <v>0</v>
      </c>
      <c r="Q422" s="4" t="e">
        <f>Tabela2[[#This Row],[Proposta
 Negociada]]/Tabela2[[#This Row],[Proposta
 Inicial]]-1</f>
        <v>#DIV/0!</v>
      </c>
      <c r="S422"/>
    </row>
    <row r="423" spans="1:19" ht="14.45">
      <c r="A423" s="9"/>
      <c r="B423" s="9"/>
      <c r="C423" s="1" t="str">
        <f t="shared" si="14"/>
        <v/>
      </c>
      <c r="I423" s="1" t="str">
        <f>IFERROR(VLOOKUP(H423,SLA_Ref!$A$1:$B$8,2,FALSE),"")</f>
        <v/>
      </c>
      <c r="J423" s="1" t="str">
        <f t="shared" ca="1" si="13"/>
        <v/>
      </c>
      <c r="K423" s="11" t="e">
        <f>Tabela2[[#This Row],[SLA
Padrão]]-Tabela2[[#This Row],[SLA Atendimento]]</f>
        <v>#VALUE!</v>
      </c>
      <c r="L423" s="11"/>
      <c r="O423" s="1" t="s">
        <v>30</v>
      </c>
      <c r="P423" s="2">
        <f>Tabela2[[#This Row],[Proposta
 Inicial]]-Tabela2[[#This Row],[Proposta
 Negociada]]</f>
        <v>0</v>
      </c>
      <c r="Q423" s="4" t="e">
        <f>Tabela2[[#This Row],[Proposta
 Negociada]]/Tabela2[[#This Row],[Proposta
 Inicial]]-1</f>
        <v>#DIV/0!</v>
      </c>
      <c r="S423"/>
    </row>
    <row r="424" spans="1:19" ht="14.45">
      <c r="A424" s="9"/>
      <c r="B424" s="9"/>
      <c r="C424" s="1" t="str">
        <f t="shared" si="14"/>
        <v/>
      </c>
      <c r="I424" s="1" t="str">
        <f>IFERROR(VLOOKUP(H424,SLA_Ref!$A$1:$B$8,2,FALSE),"")</f>
        <v/>
      </c>
      <c r="J424" s="1" t="str">
        <f t="shared" ca="1" si="13"/>
        <v/>
      </c>
      <c r="K424" s="11" t="e">
        <f>Tabela2[[#This Row],[SLA
Padrão]]-Tabela2[[#This Row],[SLA Atendimento]]</f>
        <v>#VALUE!</v>
      </c>
      <c r="L424" s="11"/>
      <c r="O424" s="1" t="s">
        <v>30</v>
      </c>
      <c r="P424" s="2">
        <f>Tabela2[[#This Row],[Proposta
 Inicial]]-Tabela2[[#This Row],[Proposta
 Negociada]]</f>
        <v>0</v>
      </c>
      <c r="Q424" s="4" t="e">
        <f>Tabela2[[#This Row],[Proposta
 Negociada]]/Tabela2[[#This Row],[Proposta
 Inicial]]-1</f>
        <v>#DIV/0!</v>
      </c>
      <c r="S424"/>
    </row>
    <row r="425" spans="1:19" ht="14.45">
      <c r="A425" s="9"/>
      <c r="B425" s="9"/>
      <c r="C425" s="1" t="str">
        <f t="shared" si="14"/>
        <v/>
      </c>
      <c r="I425" s="1" t="str">
        <f>IFERROR(VLOOKUP(H425,SLA_Ref!$A$1:$B$8,2,FALSE),"")</f>
        <v/>
      </c>
      <c r="J425" s="1" t="str">
        <f t="shared" ca="1" si="13"/>
        <v/>
      </c>
      <c r="K425" s="11" t="e">
        <f>Tabela2[[#This Row],[SLA
Padrão]]-Tabela2[[#This Row],[SLA Atendimento]]</f>
        <v>#VALUE!</v>
      </c>
      <c r="L425" s="11"/>
      <c r="O425" s="1" t="s">
        <v>30</v>
      </c>
      <c r="P425" s="2">
        <f>Tabela2[[#This Row],[Proposta
 Inicial]]-Tabela2[[#This Row],[Proposta
 Negociada]]</f>
        <v>0</v>
      </c>
      <c r="Q425" s="4" t="e">
        <f>Tabela2[[#This Row],[Proposta
 Negociada]]/Tabela2[[#This Row],[Proposta
 Inicial]]-1</f>
        <v>#DIV/0!</v>
      </c>
      <c r="S425"/>
    </row>
    <row r="426" spans="1:19" ht="14.45">
      <c r="A426" s="9"/>
      <c r="B426" s="9"/>
      <c r="C426" s="1" t="str">
        <f t="shared" si="14"/>
        <v/>
      </c>
      <c r="I426" s="1" t="str">
        <f>IFERROR(VLOOKUP(H426,SLA_Ref!$A$1:$B$8,2,FALSE),"")</f>
        <v/>
      </c>
      <c r="J426" s="1" t="str">
        <f t="shared" ca="1" si="13"/>
        <v/>
      </c>
      <c r="K426" s="11" t="e">
        <f>Tabela2[[#This Row],[SLA
Padrão]]-Tabela2[[#This Row],[SLA Atendimento]]</f>
        <v>#VALUE!</v>
      </c>
      <c r="L426" s="11"/>
      <c r="O426" s="1" t="s">
        <v>30</v>
      </c>
      <c r="P426" s="2">
        <f>Tabela2[[#This Row],[Proposta
 Inicial]]-Tabela2[[#This Row],[Proposta
 Negociada]]</f>
        <v>0</v>
      </c>
      <c r="Q426" s="4" t="e">
        <f>Tabela2[[#This Row],[Proposta
 Negociada]]/Tabela2[[#This Row],[Proposta
 Inicial]]-1</f>
        <v>#DIV/0!</v>
      </c>
      <c r="S426"/>
    </row>
    <row r="427" spans="1:19" ht="14.45">
      <c r="A427" s="9"/>
      <c r="B427" s="9"/>
      <c r="C427" s="1" t="str">
        <f t="shared" si="14"/>
        <v/>
      </c>
      <c r="I427" s="1" t="str">
        <f>IFERROR(VLOOKUP(H427,SLA_Ref!$A$1:$B$8,2,FALSE),"")</f>
        <v/>
      </c>
      <c r="J427" s="1" t="str">
        <f t="shared" ref="J427:J490" ca="1" si="15">IF(A427="","",IF(B427="",IF(TODAY()-A427&gt;I427,"ATRASADA","EM ANDAMENTO"),IF(B427-A427&gt;I427,"ATRASADA","NO PRAZO")))</f>
        <v/>
      </c>
      <c r="K427" s="11" t="e">
        <f>Tabela2[[#This Row],[SLA
Padrão]]-Tabela2[[#This Row],[SLA Atendimento]]</f>
        <v>#VALUE!</v>
      </c>
      <c r="L427" s="11"/>
      <c r="O427" s="1" t="s">
        <v>30</v>
      </c>
      <c r="P427" s="2">
        <f>Tabela2[[#This Row],[Proposta
 Inicial]]-Tabela2[[#This Row],[Proposta
 Negociada]]</f>
        <v>0</v>
      </c>
      <c r="Q427" s="4" t="e">
        <f>Tabela2[[#This Row],[Proposta
 Negociada]]/Tabela2[[#This Row],[Proposta
 Inicial]]-1</f>
        <v>#DIV/0!</v>
      </c>
      <c r="S427"/>
    </row>
    <row r="428" spans="1:19" ht="14.45">
      <c r="A428" s="9"/>
      <c r="B428" s="9"/>
      <c r="C428" s="1" t="str">
        <f t="shared" si="14"/>
        <v/>
      </c>
      <c r="I428" s="1" t="str">
        <f>IFERROR(VLOOKUP(H428,SLA_Ref!$A$1:$B$8,2,FALSE),"")</f>
        <v/>
      </c>
      <c r="J428" s="1" t="str">
        <f t="shared" ca="1" si="15"/>
        <v/>
      </c>
      <c r="K428" s="11" t="e">
        <f>Tabela2[[#This Row],[SLA
Padrão]]-Tabela2[[#This Row],[SLA Atendimento]]</f>
        <v>#VALUE!</v>
      </c>
      <c r="L428" s="11"/>
      <c r="O428" s="1" t="s">
        <v>30</v>
      </c>
      <c r="P428" s="2">
        <f>Tabela2[[#This Row],[Proposta
 Inicial]]-Tabela2[[#This Row],[Proposta
 Negociada]]</f>
        <v>0</v>
      </c>
      <c r="Q428" s="4" t="e">
        <f>Tabela2[[#This Row],[Proposta
 Negociada]]/Tabela2[[#This Row],[Proposta
 Inicial]]-1</f>
        <v>#DIV/0!</v>
      </c>
      <c r="S428"/>
    </row>
    <row r="429" spans="1:19" ht="14.45">
      <c r="A429" s="9"/>
      <c r="B429" s="9"/>
      <c r="C429" s="1" t="str">
        <f t="shared" si="14"/>
        <v/>
      </c>
      <c r="I429" s="1" t="str">
        <f>IFERROR(VLOOKUP(H429,SLA_Ref!$A$1:$B$8,2,FALSE),"")</f>
        <v/>
      </c>
      <c r="J429" s="1" t="str">
        <f t="shared" ca="1" si="15"/>
        <v/>
      </c>
      <c r="K429" s="11" t="e">
        <f>Tabela2[[#This Row],[SLA
Padrão]]-Tabela2[[#This Row],[SLA Atendimento]]</f>
        <v>#VALUE!</v>
      </c>
      <c r="L429" s="11"/>
      <c r="O429" s="1" t="s">
        <v>30</v>
      </c>
      <c r="P429" s="2">
        <f>Tabela2[[#This Row],[Proposta
 Inicial]]-Tabela2[[#This Row],[Proposta
 Negociada]]</f>
        <v>0</v>
      </c>
      <c r="Q429" s="4" t="e">
        <f>Tabela2[[#This Row],[Proposta
 Negociada]]/Tabela2[[#This Row],[Proposta
 Inicial]]-1</f>
        <v>#DIV/0!</v>
      </c>
      <c r="S429"/>
    </row>
    <row r="430" spans="1:19" ht="14.45">
      <c r="A430" s="9"/>
      <c r="B430" s="9"/>
      <c r="C430" s="1" t="str">
        <f t="shared" si="14"/>
        <v/>
      </c>
      <c r="I430" s="1" t="str">
        <f>IFERROR(VLOOKUP(H430,SLA_Ref!$A$1:$B$8,2,FALSE),"")</f>
        <v/>
      </c>
      <c r="J430" s="1" t="str">
        <f t="shared" ca="1" si="15"/>
        <v/>
      </c>
      <c r="K430" s="11" t="e">
        <f>Tabela2[[#This Row],[SLA
Padrão]]-Tabela2[[#This Row],[SLA Atendimento]]</f>
        <v>#VALUE!</v>
      </c>
      <c r="L430" s="11"/>
      <c r="O430" s="1" t="s">
        <v>30</v>
      </c>
      <c r="P430" s="2">
        <f>Tabela2[[#This Row],[Proposta
 Inicial]]-Tabela2[[#This Row],[Proposta
 Negociada]]</f>
        <v>0</v>
      </c>
      <c r="Q430" s="4" t="e">
        <f>Tabela2[[#This Row],[Proposta
 Negociada]]/Tabela2[[#This Row],[Proposta
 Inicial]]-1</f>
        <v>#DIV/0!</v>
      </c>
      <c r="S430"/>
    </row>
    <row r="431" spans="1:19" ht="14.45">
      <c r="A431" s="9"/>
      <c r="B431" s="9"/>
      <c r="C431" s="1" t="str">
        <f t="shared" si="14"/>
        <v/>
      </c>
      <c r="I431" s="1" t="str">
        <f>IFERROR(VLOOKUP(H431,SLA_Ref!$A$1:$B$8,2,FALSE),"")</f>
        <v/>
      </c>
      <c r="J431" s="1" t="str">
        <f t="shared" ca="1" si="15"/>
        <v/>
      </c>
      <c r="K431" s="11" t="e">
        <f>Tabela2[[#This Row],[SLA
Padrão]]-Tabela2[[#This Row],[SLA Atendimento]]</f>
        <v>#VALUE!</v>
      </c>
      <c r="L431" s="11"/>
      <c r="O431" s="1" t="s">
        <v>30</v>
      </c>
      <c r="P431" s="2">
        <f>Tabela2[[#This Row],[Proposta
 Inicial]]-Tabela2[[#This Row],[Proposta
 Negociada]]</f>
        <v>0</v>
      </c>
      <c r="Q431" s="4" t="e">
        <f>Tabela2[[#This Row],[Proposta
 Negociada]]/Tabela2[[#This Row],[Proposta
 Inicial]]-1</f>
        <v>#DIV/0!</v>
      </c>
      <c r="S431"/>
    </row>
    <row r="432" spans="1:19" ht="14.45">
      <c r="A432" s="9"/>
      <c r="B432" s="9"/>
      <c r="C432" s="1" t="str">
        <f t="shared" si="14"/>
        <v/>
      </c>
      <c r="I432" s="1" t="str">
        <f>IFERROR(VLOOKUP(H432,SLA_Ref!$A$1:$B$8,2,FALSE),"")</f>
        <v/>
      </c>
      <c r="J432" s="1" t="str">
        <f t="shared" ca="1" si="15"/>
        <v/>
      </c>
      <c r="K432" s="11" t="e">
        <f>Tabela2[[#This Row],[SLA
Padrão]]-Tabela2[[#This Row],[SLA Atendimento]]</f>
        <v>#VALUE!</v>
      </c>
      <c r="L432" s="11"/>
      <c r="O432" s="1" t="s">
        <v>30</v>
      </c>
      <c r="P432" s="2">
        <f>Tabela2[[#This Row],[Proposta
 Inicial]]-Tabela2[[#This Row],[Proposta
 Negociada]]</f>
        <v>0</v>
      </c>
      <c r="Q432" s="4" t="e">
        <f>Tabela2[[#This Row],[Proposta
 Negociada]]/Tabela2[[#This Row],[Proposta
 Inicial]]-1</f>
        <v>#DIV/0!</v>
      </c>
      <c r="S432"/>
    </row>
    <row r="433" spans="1:19" ht="14.45">
      <c r="A433" s="9"/>
      <c r="B433" s="9"/>
      <c r="C433" s="1" t="str">
        <f t="shared" si="14"/>
        <v/>
      </c>
      <c r="I433" s="1" t="str">
        <f>IFERROR(VLOOKUP(H433,SLA_Ref!$A$1:$B$8,2,FALSE),"")</f>
        <v/>
      </c>
      <c r="J433" s="1" t="str">
        <f t="shared" ca="1" si="15"/>
        <v/>
      </c>
      <c r="K433" s="11" t="e">
        <f>Tabela2[[#This Row],[SLA
Padrão]]-Tabela2[[#This Row],[SLA Atendimento]]</f>
        <v>#VALUE!</v>
      </c>
      <c r="L433" s="11"/>
      <c r="O433" s="1" t="s">
        <v>30</v>
      </c>
      <c r="P433" s="2">
        <f>Tabela2[[#This Row],[Proposta
 Inicial]]-Tabela2[[#This Row],[Proposta
 Negociada]]</f>
        <v>0</v>
      </c>
      <c r="Q433" s="4" t="e">
        <f>Tabela2[[#This Row],[Proposta
 Negociada]]/Tabela2[[#This Row],[Proposta
 Inicial]]-1</f>
        <v>#DIV/0!</v>
      </c>
      <c r="S433"/>
    </row>
    <row r="434" spans="1:19" ht="14.45">
      <c r="A434" s="9"/>
      <c r="B434" s="9"/>
      <c r="C434" s="1" t="str">
        <f t="shared" si="14"/>
        <v/>
      </c>
      <c r="I434" s="1" t="str">
        <f>IFERROR(VLOOKUP(H434,SLA_Ref!$A$1:$B$8,2,FALSE),"")</f>
        <v/>
      </c>
      <c r="J434" s="1" t="str">
        <f t="shared" ca="1" si="15"/>
        <v/>
      </c>
      <c r="K434" s="11" t="e">
        <f>Tabela2[[#This Row],[SLA
Padrão]]-Tabela2[[#This Row],[SLA Atendimento]]</f>
        <v>#VALUE!</v>
      </c>
      <c r="L434" s="11"/>
      <c r="O434" s="1" t="s">
        <v>30</v>
      </c>
      <c r="P434" s="2">
        <f>Tabela2[[#This Row],[Proposta
 Inicial]]-Tabela2[[#This Row],[Proposta
 Negociada]]</f>
        <v>0</v>
      </c>
      <c r="Q434" s="4" t="e">
        <f>Tabela2[[#This Row],[Proposta
 Negociada]]/Tabela2[[#This Row],[Proposta
 Inicial]]-1</f>
        <v>#DIV/0!</v>
      </c>
      <c r="S434"/>
    </row>
    <row r="435" spans="1:19" ht="14.45">
      <c r="A435" s="9"/>
      <c r="B435" s="9"/>
      <c r="C435" s="1" t="str">
        <f t="shared" si="14"/>
        <v/>
      </c>
      <c r="I435" s="1" t="str">
        <f>IFERROR(VLOOKUP(H435,SLA_Ref!$A$1:$B$8,2,FALSE),"")</f>
        <v/>
      </c>
      <c r="J435" s="1" t="str">
        <f t="shared" ca="1" si="15"/>
        <v/>
      </c>
      <c r="K435" s="11" t="e">
        <f>Tabela2[[#This Row],[SLA
Padrão]]-Tabela2[[#This Row],[SLA Atendimento]]</f>
        <v>#VALUE!</v>
      </c>
      <c r="L435" s="11"/>
      <c r="O435" s="1" t="s">
        <v>30</v>
      </c>
      <c r="P435" s="2">
        <f>Tabela2[[#This Row],[Proposta
 Inicial]]-Tabela2[[#This Row],[Proposta
 Negociada]]</f>
        <v>0</v>
      </c>
      <c r="Q435" s="4" t="e">
        <f>Tabela2[[#This Row],[Proposta
 Negociada]]/Tabela2[[#This Row],[Proposta
 Inicial]]-1</f>
        <v>#DIV/0!</v>
      </c>
      <c r="S435"/>
    </row>
    <row r="436" spans="1:19" ht="14.45">
      <c r="A436" s="9"/>
      <c r="B436" s="9"/>
      <c r="C436" s="1" t="str">
        <f t="shared" si="14"/>
        <v/>
      </c>
      <c r="I436" s="1" t="str">
        <f>IFERROR(VLOOKUP(H436,SLA_Ref!$A$1:$B$8,2,FALSE),"")</f>
        <v/>
      </c>
      <c r="J436" s="1" t="str">
        <f t="shared" ca="1" si="15"/>
        <v/>
      </c>
      <c r="K436" s="11" t="e">
        <f>Tabela2[[#This Row],[SLA
Padrão]]-Tabela2[[#This Row],[SLA Atendimento]]</f>
        <v>#VALUE!</v>
      </c>
      <c r="L436" s="11"/>
      <c r="O436" s="1" t="s">
        <v>30</v>
      </c>
      <c r="P436" s="2">
        <f>Tabela2[[#This Row],[Proposta
 Inicial]]-Tabela2[[#This Row],[Proposta
 Negociada]]</f>
        <v>0</v>
      </c>
      <c r="Q436" s="4" t="e">
        <f>Tabela2[[#This Row],[Proposta
 Negociada]]/Tabela2[[#This Row],[Proposta
 Inicial]]-1</f>
        <v>#DIV/0!</v>
      </c>
      <c r="S436"/>
    </row>
    <row r="437" spans="1:19" ht="14.45">
      <c r="A437" s="9"/>
      <c r="B437" s="9"/>
      <c r="C437" s="1" t="str">
        <f t="shared" si="14"/>
        <v/>
      </c>
      <c r="I437" s="1" t="str">
        <f>IFERROR(VLOOKUP(H437,SLA_Ref!$A$1:$B$8,2,FALSE),"")</f>
        <v/>
      </c>
      <c r="J437" s="1" t="str">
        <f t="shared" ca="1" si="15"/>
        <v/>
      </c>
      <c r="K437" s="11" t="e">
        <f>Tabela2[[#This Row],[SLA
Padrão]]-Tabela2[[#This Row],[SLA Atendimento]]</f>
        <v>#VALUE!</v>
      </c>
      <c r="L437" s="11"/>
      <c r="O437" s="1" t="s">
        <v>30</v>
      </c>
      <c r="P437" s="2">
        <f>Tabela2[[#This Row],[Proposta
 Inicial]]-Tabela2[[#This Row],[Proposta
 Negociada]]</f>
        <v>0</v>
      </c>
      <c r="Q437" s="4" t="e">
        <f>Tabela2[[#This Row],[Proposta
 Negociada]]/Tabela2[[#This Row],[Proposta
 Inicial]]-1</f>
        <v>#DIV/0!</v>
      </c>
      <c r="S437"/>
    </row>
    <row r="438" spans="1:19" ht="14.45">
      <c r="A438" s="9"/>
      <c r="B438" s="9"/>
      <c r="C438" s="1" t="str">
        <f t="shared" si="14"/>
        <v/>
      </c>
      <c r="I438" s="1" t="str">
        <f>IFERROR(VLOOKUP(H438,SLA_Ref!$A$1:$B$8,2,FALSE),"")</f>
        <v/>
      </c>
      <c r="J438" s="1" t="str">
        <f t="shared" ca="1" si="15"/>
        <v/>
      </c>
      <c r="K438" s="11" t="e">
        <f>Tabela2[[#This Row],[SLA
Padrão]]-Tabela2[[#This Row],[SLA Atendimento]]</f>
        <v>#VALUE!</v>
      </c>
      <c r="L438" s="11"/>
      <c r="O438" s="1" t="s">
        <v>30</v>
      </c>
      <c r="P438" s="2">
        <f>Tabela2[[#This Row],[Proposta
 Inicial]]-Tabela2[[#This Row],[Proposta
 Negociada]]</f>
        <v>0</v>
      </c>
      <c r="Q438" s="4" t="e">
        <f>Tabela2[[#This Row],[Proposta
 Negociada]]/Tabela2[[#This Row],[Proposta
 Inicial]]-1</f>
        <v>#DIV/0!</v>
      </c>
      <c r="S438"/>
    </row>
    <row r="439" spans="1:19" ht="14.45">
      <c r="A439" s="9"/>
      <c r="B439" s="9"/>
      <c r="C439" s="1" t="str">
        <f t="shared" si="14"/>
        <v/>
      </c>
      <c r="I439" s="1" t="str">
        <f>IFERROR(VLOOKUP(H439,SLA_Ref!$A$1:$B$8,2,FALSE),"")</f>
        <v/>
      </c>
      <c r="J439" s="1" t="str">
        <f t="shared" ca="1" si="15"/>
        <v/>
      </c>
      <c r="K439" s="11" t="e">
        <f>Tabela2[[#This Row],[SLA
Padrão]]-Tabela2[[#This Row],[SLA Atendimento]]</f>
        <v>#VALUE!</v>
      </c>
      <c r="L439" s="11"/>
      <c r="O439" s="1" t="s">
        <v>30</v>
      </c>
      <c r="P439" s="2">
        <f>Tabela2[[#This Row],[Proposta
 Inicial]]-Tabela2[[#This Row],[Proposta
 Negociada]]</f>
        <v>0</v>
      </c>
      <c r="Q439" s="4" t="e">
        <f>Tabela2[[#This Row],[Proposta
 Negociada]]/Tabela2[[#This Row],[Proposta
 Inicial]]-1</f>
        <v>#DIV/0!</v>
      </c>
      <c r="S439"/>
    </row>
    <row r="440" spans="1:19" ht="14.45">
      <c r="A440" s="9"/>
      <c r="B440" s="9"/>
      <c r="C440" s="1" t="str">
        <f t="shared" si="14"/>
        <v/>
      </c>
      <c r="I440" s="1" t="str">
        <f>IFERROR(VLOOKUP(H440,SLA_Ref!$A$1:$B$8,2,FALSE),"")</f>
        <v/>
      </c>
      <c r="J440" s="1" t="str">
        <f t="shared" ca="1" si="15"/>
        <v/>
      </c>
      <c r="K440" s="11" t="e">
        <f>Tabela2[[#This Row],[SLA
Padrão]]-Tabela2[[#This Row],[SLA Atendimento]]</f>
        <v>#VALUE!</v>
      </c>
      <c r="L440" s="11"/>
      <c r="O440" s="1" t="s">
        <v>30</v>
      </c>
      <c r="P440" s="2">
        <f>Tabela2[[#This Row],[Proposta
 Inicial]]-Tabela2[[#This Row],[Proposta
 Negociada]]</f>
        <v>0</v>
      </c>
      <c r="Q440" s="4" t="e">
        <f>Tabela2[[#This Row],[Proposta
 Negociada]]/Tabela2[[#This Row],[Proposta
 Inicial]]-1</f>
        <v>#DIV/0!</v>
      </c>
      <c r="S440"/>
    </row>
    <row r="441" spans="1:19" ht="14.45">
      <c r="A441" s="9"/>
      <c r="B441" s="9"/>
      <c r="C441" s="1" t="str">
        <f t="shared" si="14"/>
        <v/>
      </c>
      <c r="I441" s="1" t="str">
        <f>IFERROR(VLOOKUP(H441,SLA_Ref!$A$1:$B$8,2,FALSE),"")</f>
        <v/>
      </c>
      <c r="J441" s="1" t="str">
        <f t="shared" ca="1" si="15"/>
        <v/>
      </c>
      <c r="K441" s="11" t="e">
        <f>Tabela2[[#This Row],[SLA
Padrão]]-Tabela2[[#This Row],[SLA Atendimento]]</f>
        <v>#VALUE!</v>
      </c>
      <c r="L441" s="11"/>
      <c r="O441" s="1" t="s">
        <v>30</v>
      </c>
      <c r="P441" s="2">
        <f>Tabela2[[#This Row],[Proposta
 Inicial]]-Tabela2[[#This Row],[Proposta
 Negociada]]</f>
        <v>0</v>
      </c>
      <c r="Q441" s="4" t="e">
        <f>Tabela2[[#This Row],[Proposta
 Negociada]]/Tabela2[[#This Row],[Proposta
 Inicial]]-1</f>
        <v>#DIV/0!</v>
      </c>
      <c r="S441"/>
    </row>
    <row r="442" spans="1:19" ht="14.45">
      <c r="A442" s="9"/>
      <c r="B442" s="9"/>
      <c r="C442" s="1" t="str">
        <f t="shared" si="14"/>
        <v/>
      </c>
      <c r="I442" s="1" t="str">
        <f>IFERROR(VLOOKUP(H442,SLA_Ref!$A$1:$B$8,2,FALSE),"")</f>
        <v/>
      </c>
      <c r="J442" s="1" t="str">
        <f t="shared" ca="1" si="15"/>
        <v/>
      </c>
      <c r="K442" s="11" t="e">
        <f>Tabela2[[#This Row],[SLA
Padrão]]-Tabela2[[#This Row],[SLA Atendimento]]</f>
        <v>#VALUE!</v>
      </c>
      <c r="L442" s="11"/>
      <c r="O442" s="1" t="s">
        <v>30</v>
      </c>
      <c r="P442" s="2">
        <f>Tabela2[[#This Row],[Proposta
 Inicial]]-Tabela2[[#This Row],[Proposta
 Negociada]]</f>
        <v>0</v>
      </c>
      <c r="Q442" s="4" t="e">
        <f>Tabela2[[#This Row],[Proposta
 Negociada]]/Tabela2[[#This Row],[Proposta
 Inicial]]-1</f>
        <v>#DIV/0!</v>
      </c>
      <c r="S442"/>
    </row>
    <row r="443" spans="1:19" ht="14.45">
      <c r="A443" s="9"/>
      <c r="B443" s="9"/>
      <c r="C443" s="1" t="str">
        <f t="shared" si="14"/>
        <v/>
      </c>
      <c r="I443" s="1" t="str">
        <f>IFERROR(VLOOKUP(H443,SLA_Ref!$A$1:$B$8,2,FALSE),"")</f>
        <v/>
      </c>
      <c r="J443" s="1" t="str">
        <f t="shared" ca="1" si="15"/>
        <v/>
      </c>
      <c r="K443" s="11" t="e">
        <f>Tabela2[[#This Row],[SLA
Padrão]]-Tabela2[[#This Row],[SLA Atendimento]]</f>
        <v>#VALUE!</v>
      </c>
      <c r="L443" s="11"/>
      <c r="O443" s="1" t="s">
        <v>30</v>
      </c>
      <c r="P443" s="2">
        <f>Tabela2[[#This Row],[Proposta
 Inicial]]-Tabela2[[#This Row],[Proposta
 Negociada]]</f>
        <v>0</v>
      </c>
      <c r="Q443" s="4" t="e">
        <f>Tabela2[[#This Row],[Proposta
 Negociada]]/Tabela2[[#This Row],[Proposta
 Inicial]]-1</f>
        <v>#DIV/0!</v>
      </c>
      <c r="S443"/>
    </row>
    <row r="444" spans="1:19" ht="14.45">
      <c r="A444" s="9"/>
      <c r="B444" s="9"/>
      <c r="C444" s="1" t="str">
        <f t="shared" si="14"/>
        <v/>
      </c>
      <c r="I444" s="1" t="str">
        <f>IFERROR(VLOOKUP(H444,SLA_Ref!$A$1:$B$8,2,FALSE),"")</f>
        <v/>
      </c>
      <c r="J444" s="1" t="str">
        <f t="shared" ca="1" si="15"/>
        <v/>
      </c>
      <c r="K444" s="11" t="e">
        <f>Tabela2[[#This Row],[SLA
Padrão]]-Tabela2[[#This Row],[SLA Atendimento]]</f>
        <v>#VALUE!</v>
      </c>
      <c r="L444" s="11"/>
      <c r="O444" s="1" t="s">
        <v>30</v>
      </c>
      <c r="P444" s="2">
        <f>Tabela2[[#This Row],[Proposta
 Inicial]]-Tabela2[[#This Row],[Proposta
 Negociada]]</f>
        <v>0</v>
      </c>
      <c r="Q444" s="4" t="e">
        <f>Tabela2[[#This Row],[Proposta
 Negociada]]/Tabela2[[#This Row],[Proposta
 Inicial]]-1</f>
        <v>#DIV/0!</v>
      </c>
      <c r="S444"/>
    </row>
    <row r="445" spans="1:19" ht="14.45">
      <c r="A445" s="9"/>
      <c r="B445" s="9"/>
      <c r="C445" s="1" t="str">
        <f t="shared" si="14"/>
        <v/>
      </c>
      <c r="I445" s="1" t="str">
        <f>IFERROR(VLOOKUP(H445,SLA_Ref!$A$1:$B$8,2,FALSE),"")</f>
        <v/>
      </c>
      <c r="J445" s="1" t="str">
        <f t="shared" ca="1" si="15"/>
        <v/>
      </c>
      <c r="K445" s="11" t="e">
        <f>Tabela2[[#This Row],[SLA
Padrão]]-Tabela2[[#This Row],[SLA Atendimento]]</f>
        <v>#VALUE!</v>
      </c>
      <c r="L445" s="11"/>
      <c r="O445" s="1" t="s">
        <v>30</v>
      </c>
      <c r="P445" s="2">
        <f>Tabela2[[#This Row],[Proposta
 Inicial]]-Tabela2[[#This Row],[Proposta
 Negociada]]</f>
        <v>0</v>
      </c>
      <c r="Q445" s="4" t="e">
        <f>Tabela2[[#This Row],[Proposta
 Negociada]]/Tabela2[[#This Row],[Proposta
 Inicial]]-1</f>
        <v>#DIV/0!</v>
      </c>
      <c r="S445"/>
    </row>
    <row r="446" spans="1:19" ht="14.45">
      <c r="A446" s="9"/>
      <c r="B446" s="9"/>
      <c r="C446" s="1" t="str">
        <f t="shared" si="14"/>
        <v/>
      </c>
      <c r="I446" s="1" t="str">
        <f>IFERROR(VLOOKUP(H446,SLA_Ref!$A$1:$B$8,2,FALSE),"")</f>
        <v/>
      </c>
      <c r="J446" s="1" t="str">
        <f t="shared" ca="1" si="15"/>
        <v/>
      </c>
      <c r="K446" s="11" t="e">
        <f>Tabela2[[#This Row],[SLA
Padrão]]-Tabela2[[#This Row],[SLA Atendimento]]</f>
        <v>#VALUE!</v>
      </c>
      <c r="L446" s="11"/>
      <c r="O446" s="1" t="s">
        <v>30</v>
      </c>
      <c r="P446" s="2">
        <f>Tabela2[[#This Row],[Proposta
 Inicial]]-Tabela2[[#This Row],[Proposta
 Negociada]]</f>
        <v>0</v>
      </c>
      <c r="Q446" s="4" t="e">
        <f>Tabela2[[#This Row],[Proposta
 Negociada]]/Tabela2[[#This Row],[Proposta
 Inicial]]-1</f>
        <v>#DIV/0!</v>
      </c>
      <c r="S446"/>
    </row>
    <row r="447" spans="1:19" ht="14.45">
      <c r="A447" s="9"/>
      <c r="B447" s="9"/>
      <c r="C447" s="1" t="str">
        <f t="shared" si="14"/>
        <v/>
      </c>
      <c r="I447" s="1" t="str">
        <f>IFERROR(VLOOKUP(H447,SLA_Ref!$A$1:$B$8,2,FALSE),"")</f>
        <v/>
      </c>
      <c r="J447" s="1" t="str">
        <f t="shared" ca="1" si="15"/>
        <v/>
      </c>
      <c r="K447" s="11" t="e">
        <f>Tabela2[[#This Row],[SLA
Padrão]]-Tabela2[[#This Row],[SLA Atendimento]]</f>
        <v>#VALUE!</v>
      </c>
      <c r="L447" s="11"/>
      <c r="O447" s="1" t="s">
        <v>30</v>
      </c>
      <c r="P447" s="2">
        <f>Tabela2[[#This Row],[Proposta
 Inicial]]-Tabela2[[#This Row],[Proposta
 Negociada]]</f>
        <v>0</v>
      </c>
      <c r="Q447" s="4" t="e">
        <f>Tabela2[[#This Row],[Proposta
 Negociada]]/Tabela2[[#This Row],[Proposta
 Inicial]]-1</f>
        <v>#DIV/0!</v>
      </c>
      <c r="S447"/>
    </row>
    <row r="448" spans="1:19" ht="14.45">
      <c r="A448" s="9"/>
      <c r="B448" s="9"/>
      <c r="C448" s="1" t="str">
        <f t="shared" si="14"/>
        <v/>
      </c>
      <c r="I448" s="1" t="str">
        <f>IFERROR(VLOOKUP(H448,SLA_Ref!$A$1:$B$8,2,FALSE),"")</f>
        <v/>
      </c>
      <c r="J448" s="1" t="str">
        <f t="shared" ca="1" si="15"/>
        <v/>
      </c>
      <c r="K448" s="11" t="e">
        <f>Tabela2[[#This Row],[SLA
Padrão]]-Tabela2[[#This Row],[SLA Atendimento]]</f>
        <v>#VALUE!</v>
      </c>
      <c r="L448" s="11"/>
      <c r="O448" s="1" t="s">
        <v>30</v>
      </c>
      <c r="P448" s="2">
        <f>Tabela2[[#This Row],[Proposta
 Inicial]]-Tabela2[[#This Row],[Proposta
 Negociada]]</f>
        <v>0</v>
      </c>
      <c r="Q448" s="4" t="e">
        <f>Tabela2[[#This Row],[Proposta
 Negociada]]/Tabela2[[#This Row],[Proposta
 Inicial]]-1</f>
        <v>#DIV/0!</v>
      </c>
      <c r="S448"/>
    </row>
    <row r="449" spans="1:19" ht="14.45">
      <c r="A449" s="9"/>
      <c r="B449" s="9"/>
      <c r="C449" s="1" t="str">
        <f t="shared" si="14"/>
        <v/>
      </c>
      <c r="I449" s="1" t="str">
        <f>IFERROR(VLOOKUP(H449,SLA_Ref!$A$1:$B$8,2,FALSE),"")</f>
        <v/>
      </c>
      <c r="J449" s="1" t="str">
        <f t="shared" ca="1" si="15"/>
        <v/>
      </c>
      <c r="K449" s="11" t="e">
        <f>Tabela2[[#This Row],[SLA
Padrão]]-Tabela2[[#This Row],[SLA Atendimento]]</f>
        <v>#VALUE!</v>
      </c>
      <c r="L449" s="11"/>
      <c r="O449" s="1" t="s">
        <v>30</v>
      </c>
      <c r="P449" s="2">
        <f>Tabela2[[#This Row],[Proposta
 Inicial]]-Tabela2[[#This Row],[Proposta
 Negociada]]</f>
        <v>0</v>
      </c>
      <c r="Q449" s="4" t="e">
        <f>Tabela2[[#This Row],[Proposta
 Negociada]]/Tabela2[[#This Row],[Proposta
 Inicial]]-1</f>
        <v>#DIV/0!</v>
      </c>
      <c r="S449"/>
    </row>
    <row r="450" spans="1:19" ht="14.45">
      <c r="A450" s="9"/>
      <c r="B450" s="9"/>
      <c r="C450" s="1" t="str">
        <f t="shared" si="14"/>
        <v/>
      </c>
      <c r="I450" s="1" t="str">
        <f>IFERROR(VLOOKUP(H450,SLA_Ref!$A$1:$B$8,2,FALSE),"")</f>
        <v/>
      </c>
      <c r="J450" s="1" t="str">
        <f t="shared" ca="1" si="15"/>
        <v/>
      </c>
      <c r="K450" s="11" t="e">
        <f>Tabela2[[#This Row],[SLA
Padrão]]-Tabela2[[#This Row],[SLA Atendimento]]</f>
        <v>#VALUE!</v>
      </c>
      <c r="L450" s="11"/>
      <c r="O450" s="1" t="s">
        <v>30</v>
      </c>
      <c r="P450" s="2">
        <f>Tabela2[[#This Row],[Proposta
 Inicial]]-Tabela2[[#This Row],[Proposta
 Negociada]]</f>
        <v>0</v>
      </c>
      <c r="Q450" s="4" t="e">
        <f>Tabela2[[#This Row],[Proposta
 Negociada]]/Tabela2[[#This Row],[Proposta
 Inicial]]-1</f>
        <v>#DIV/0!</v>
      </c>
      <c r="S450"/>
    </row>
    <row r="451" spans="1:19" ht="14.45">
      <c r="A451" s="9"/>
      <c r="B451" s="9"/>
      <c r="C451" s="1" t="str">
        <f t="shared" ref="C451:C493" si="16">IF(OR(A451="",B451=""),"",B451-A451)</f>
        <v/>
      </c>
      <c r="I451" s="1" t="str">
        <f>IFERROR(VLOOKUP(H451,SLA_Ref!$A$1:$B$8,2,FALSE),"")</f>
        <v/>
      </c>
      <c r="J451" s="1" t="str">
        <f t="shared" ca="1" si="15"/>
        <v/>
      </c>
      <c r="K451" s="11" t="e">
        <f>Tabela2[[#This Row],[SLA
Padrão]]-Tabela2[[#This Row],[SLA Atendimento]]</f>
        <v>#VALUE!</v>
      </c>
      <c r="L451" s="11"/>
      <c r="O451" s="1" t="s">
        <v>30</v>
      </c>
      <c r="P451" s="2">
        <f>Tabela2[[#This Row],[Proposta
 Inicial]]-Tabela2[[#This Row],[Proposta
 Negociada]]</f>
        <v>0</v>
      </c>
      <c r="Q451" s="4" t="e">
        <f>Tabela2[[#This Row],[Proposta
 Negociada]]/Tabela2[[#This Row],[Proposta
 Inicial]]-1</f>
        <v>#DIV/0!</v>
      </c>
      <c r="S451"/>
    </row>
    <row r="452" spans="1:19" ht="14.45">
      <c r="A452" s="9"/>
      <c r="B452" s="9"/>
      <c r="C452" s="1" t="str">
        <f t="shared" si="16"/>
        <v/>
      </c>
      <c r="I452" s="1" t="str">
        <f>IFERROR(VLOOKUP(H452,SLA_Ref!$A$1:$B$8,2,FALSE),"")</f>
        <v/>
      </c>
      <c r="J452" s="1" t="str">
        <f t="shared" ca="1" si="15"/>
        <v/>
      </c>
      <c r="K452" s="11" t="e">
        <f>Tabela2[[#This Row],[SLA
Padrão]]-Tabela2[[#This Row],[SLA Atendimento]]</f>
        <v>#VALUE!</v>
      </c>
      <c r="L452" s="11"/>
      <c r="O452" s="1" t="s">
        <v>30</v>
      </c>
      <c r="P452" s="2">
        <f>Tabela2[[#This Row],[Proposta
 Inicial]]-Tabela2[[#This Row],[Proposta
 Negociada]]</f>
        <v>0</v>
      </c>
      <c r="Q452" s="4" t="e">
        <f>Tabela2[[#This Row],[Proposta
 Negociada]]/Tabela2[[#This Row],[Proposta
 Inicial]]-1</f>
        <v>#DIV/0!</v>
      </c>
      <c r="S452"/>
    </row>
    <row r="453" spans="1:19" ht="14.45">
      <c r="A453" s="9"/>
      <c r="B453" s="9"/>
      <c r="C453" s="1" t="str">
        <f t="shared" si="16"/>
        <v/>
      </c>
      <c r="I453" s="1" t="str">
        <f>IFERROR(VLOOKUP(H453,SLA_Ref!$A$1:$B$8,2,FALSE),"")</f>
        <v/>
      </c>
      <c r="J453" s="1" t="str">
        <f t="shared" ca="1" si="15"/>
        <v/>
      </c>
      <c r="K453" s="11" t="e">
        <f>Tabela2[[#This Row],[SLA
Padrão]]-Tabela2[[#This Row],[SLA Atendimento]]</f>
        <v>#VALUE!</v>
      </c>
      <c r="L453" s="11"/>
      <c r="O453" s="1" t="s">
        <v>30</v>
      </c>
      <c r="P453" s="2">
        <f>Tabela2[[#This Row],[Proposta
 Inicial]]-Tabela2[[#This Row],[Proposta
 Negociada]]</f>
        <v>0</v>
      </c>
      <c r="Q453" s="4" t="e">
        <f>Tabela2[[#This Row],[Proposta
 Negociada]]/Tabela2[[#This Row],[Proposta
 Inicial]]-1</f>
        <v>#DIV/0!</v>
      </c>
      <c r="S453"/>
    </row>
    <row r="454" spans="1:19" ht="14.45">
      <c r="A454" s="9"/>
      <c r="B454" s="9"/>
      <c r="C454" s="1" t="str">
        <f t="shared" si="16"/>
        <v/>
      </c>
      <c r="I454" s="1" t="str">
        <f>IFERROR(VLOOKUP(H454,SLA_Ref!$A$1:$B$8,2,FALSE),"")</f>
        <v/>
      </c>
      <c r="J454" s="1" t="str">
        <f t="shared" ca="1" si="15"/>
        <v/>
      </c>
      <c r="K454" s="11" t="e">
        <f>Tabela2[[#This Row],[SLA
Padrão]]-Tabela2[[#This Row],[SLA Atendimento]]</f>
        <v>#VALUE!</v>
      </c>
      <c r="L454" s="11"/>
      <c r="O454" s="1" t="s">
        <v>30</v>
      </c>
      <c r="P454" s="2">
        <f>Tabela2[[#This Row],[Proposta
 Inicial]]-Tabela2[[#This Row],[Proposta
 Negociada]]</f>
        <v>0</v>
      </c>
      <c r="Q454" s="4" t="e">
        <f>Tabela2[[#This Row],[Proposta
 Negociada]]/Tabela2[[#This Row],[Proposta
 Inicial]]-1</f>
        <v>#DIV/0!</v>
      </c>
      <c r="S454"/>
    </row>
    <row r="455" spans="1:19" ht="14.45">
      <c r="A455" s="9"/>
      <c r="B455" s="9"/>
      <c r="C455" s="1" t="str">
        <f t="shared" si="16"/>
        <v/>
      </c>
      <c r="I455" s="1" t="str">
        <f>IFERROR(VLOOKUP(H455,SLA_Ref!$A$1:$B$8,2,FALSE),"")</f>
        <v/>
      </c>
      <c r="J455" s="1" t="str">
        <f t="shared" ca="1" si="15"/>
        <v/>
      </c>
      <c r="K455" s="11" t="e">
        <f>Tabela2[[#This Row],[SLA
Padrão]]-Tabela2[[#This Row],[SLA Atendimento]]</f>
        <v>#VALUE!</v>
      </c>
      <c r="L455" s="11"/>
      <c r="O455" s="1" t="s">
        <v>30</v>
      </c>
      <c r="P455" s="2">
        <f>Tabela2[[#This Row],[Proposta
 Inicial]]-Tabela2[[#This Row],[Proposta
 Negociada]]</f>
        <v>0</v>
      </c>
      <c r="Q455" s="4" t="e">
        <f>Tabela2[[#This Row],[Proposta
 Negociada]]/Tabela2[[#This Row],[Proposta
 Inicial]]-1</f>
        <v>#DIV/0!</v>
      </c>
      <c r="S455"/>
    </row>
    <row r="456" spans="1:19" ht="14.45">
      <c r="A456" s="9"/>
      <c r="B456" s="9"/>
      <c r="C456" s="1" t="str">
        <f t="shared" si="16"/>
        <v/>
      </c>
      <c r="I456" s="1" t="str">
        <f>IFERROR(VLOOKUP(H456,SLA_Ref!$A$1:$B$8,2,FALSE),"")</f>
        <v/>
      </c>
      <c r="J456" s="1" t="str">
        <f t="shared" ca="1" si="15"/>
        <v/>
      </c>
      <c r="K456" s="11" t="e">
        <f>Tabela2[[#This Row],[SLA
Padrão]]-Tabela2[[#This Row],[SLA Atendimento]]</f>
        <v>#VALUE!</v>
      </c>
      <c r="L456" s="11"/>
      <c r="O456" s="1" t="s">
        <v>30</v>
      </c>
      <c r="P456" s="2">
        <f>Tabela2[[#This Row],[Proposta
 Inicial]]-Tabela2[[#This Row],[Proposta
 Negociada]]</f>
        <v>0</v>
      </c>
      <c r="Q456" s="4" t="e">
        <f>Tabela2[[#This Row],[Proposta
 Negociada]]/Tabela2[[#This Row],[Proposta
 Inicial]]-1</f>
        <v>#DIV/0!</v>
      </c>
      <c r="S456"/>
    </row>
    <row r="457" spans="1:19" ht="14.45">
      <c r="A457" s="9"/>
      <c r="B457" s="9"/>
      <c r="C457" s="1" t="str">
        <f t="shared" si="16"/>
        <v/>
      </c>
      <c r="I457" s="1" t="str">
        <f>IFERROR(VLOOKUP(H457,SLA_Ref!$A$1:$B$8,2,FALSE),"")</f>
        <v/>
      </c>
      <c r="J457" s="1" t="str">
        <f t="shared" ca="1" si="15"/>
        <v/>
      </c>
      <c r="K457" s="11" t="e">
        <f>Tabela2[[#This Row],[SLA
Padrão]]-Tabela2[[#This Row],[SLA Atendimento]]</f>
        <v>#VALUE!</v>
      </c>
      <c r="L457" s="11"/>
      <c r="O457" s="1" t="s">
        <v>30</v>
      </c>
      <c r="P457" s="2">
        <f>Tabela2[[#This Row],[Proposta
 Inicial]]-Tabela2[[#This Row],[Proposta
 Negociada]]</f>
        <v>0</v>
      </c>
      <c r="Q457" s="4" t="e">
        <f>Tabela2[[#This Row],[Proposta
 Negociada]]/Tabela2[[#This Row],[Proposta
 Inicial]]-1</f>
        <v>#DIV/0!</v>
      </c>
      <c r="S457"/>
    </row>
    <row r="458" spans="1:19" ht="14.45">
      <c r="A458" s="9"/>
      <c r="B458" s="9"/>
      <c r="C458" s="1" t="str">
        <f t="shared" si="16"/>
        <v/>
      </c>
      <c r="I458" s="1" t="str">
        <f>IFERROR(VLOOKUP(H458,SLA_Ref!$A$1:$B$8,2,FALSE),"")</f>
        <v/>
      </c>
      <c r="J458" s="1" t="str">
        <f t="shared" ca="1" si="15"/>
        <v/>
      </c>
      <c r="K458" s="11" t="e">
        <f>Tabela2[[#This Row],[SLA
Padrão]]-Tabela2[[#This Row],[SLA Atendimento]]</f>
        <v>#VALUE!</v>
      </c>
      <c r="L458" s="11"/>
      <c r="O458" s="1" t="s">
        <v>30</v>
      </c>
      <c r="P458" s="2">
        <f>Tabela2[[#This Row],[Proposta
 Inicial]]-Tabela2[[#This Row],[Proposta
 Negociada]]</f>
        <v>0</v>
      </c>
      <c r="Q458" s="4" t="e">
        <f>Tabela2[[#This Row],[Proposta
 Negociada]]/Tabela2[[#This Row],[Proposta
 Inicial]]-1</f>
        <v>#DIV/0!</v>
      </c>
      <c r="S458"/>
    </row>
    <row r="459" spans="1:19" ht="14.45">
      <c r="A459" s="9"/>
      <c r="B459" s="9"/>
      <c r="C459" s="1" t="str">
        <f t="shared" si="16"/>
        <v/>
      </c>
      <c r="I459" s="1" t="str">
        <f>IFERROR(VLOOKUP(H459,SLA_Ref!$A$1:$B$8,2,FALSE),"")</f>
        <v/>
      </c>
      <c r="J459" s="1" t="str">
        <f t="shared" ca="1" si="15"/>
        <v/>
      </c>
      <c r="K459" s="11" t="e">
        <f>Tabela2[[#This Row],[SLA
Padrão]]-Tabela2[[#This Row],[SLA Atendimento]]</f>
        <v>#VALUE!</v>
      </c>
      <c r="L459" s="11"/>
      <c r="O459" s="1" t="s">
        <v>30</v>
      </c>
      <c r="P459" s="2">
        <f>Tabela2[[#This Row],[Proposta
 Inicial]]-Tabela2[[#This Row],[Proposta
 Negociada]]</f>
        <v>0</v>
      </c>
      <c r="Q459" s="4" t="e">
        <f>Tabela2[[#This Row],[Proposta
 Negociada]]/Tabela2[[#This Row],[Proposta
 Inicial]]-1</f>
        <v>#DIV/0!</v>
      </c>
      <c r="S459"/>
    </row>
    <row r="460" spans="1:19" ht="14.45">
      <c r="A460" s="9"/>
      <c r="B460" s="9"/>
      <c r="C460" s="1" t="str">
        <f t="shared" si="16"/>
        <v/>
      </c>
      <c r="I460" s="1" t="str">
        <f>IFERROR(VLOOKUP(H460,SLA_Ref!$A$1:$B$8,2,FALSE),"")</f>
        <v/>
      </c>
      <c r="J460" s="1" t="str">
        <f t="shared" ca="1" si="15"/>
        <v/>
      </c>
      <c r="K460" s="11" t="e">
        <f>Tabela2[[#This Row],[SLA
Padrão]]-Tabela2[[#This Row],[SLA Atendimento]]</f>
        <v>#VALUE!</v>
      </c>
      <c r="L460" s="11"/>
      <c r="O460" s="1" t="s">
        <v>30</v>
      </c>
      <c r="P460" s="2">
        <f>Tabela2[[#This Row],[Proposta
 Inicial]]-Tabela2[[#This Row],[Proposta
 Negociada]]</f>
        <v>0</v>
      </c>
      <c r="Q460" s="4" t="e">
        <f>Tabela2[[#This Row],[Proposta
 Negociada]]/Tabela2[[#This Row],[Proposta
 Inicial]]-1</f>
        <v>#DIV/0!</v>
      </c>
      <c r="S460"/>
    </row>
    <row r="461" spans="1:19" ht="14.45">
      <c r="A461" s="9"/>
      <c r="B461" s="9"/>
      <c r="C461" s="1" t="str">
        <f t="shared" si="16"/>
        <v/>
      </c>
      <c r="I461" s="1" t="str">
        <f>IFERROR(VLOOKUP(H461,SLA_Ref!$A$1:$B$8,2,FALSE),"")</f>
        <v/>
      </c>
      <c r="J461" s="1" t="str">
        <f t="shared" ca="1" si="15"/>
        <v/>
      </c>
      <c r="K461" s="11" t="e">
        <f>Tabela2[[#This Row],[SLA
Padrão]]-Tabela2[[#This Row],[SLA Atendimento]]</f>
        <v>#VALUE!</v>
      </c>
      <c r="L461" s="11"/>
      <c r="O461" s="1" t="s">
        <v>30</v>
      </c>
      <c r="P461" s="2">
        <f>Tabela2[[#This Row],[Proposta
 Inicial]]-Tabela2[[#This Row],[Proposta
 Negociada]]</f>
        <v>0</v>
      </c>
      <c r="Q461" s="4" t="e">
        <f>Tabela2[[#This Row],[Proposta
 Negociada]]/Tabela2[[#This Row],[Proposta
 Inicial]]-1</f>
        <v>#DIV/0!</v>
      </c>
      <c r="S461"/>
    </row>
    <row r="462" spans="1:19" ht="14.45">
      <c r="A462" s="9"/>
      <c r="B462" s="9"/>
      <c r="C462" s="1" t="str">
        <f t="shared" si="16"/>
        <v/>
      </c>
      <c r="I462" s="1" t="str">
        <f>IFERROR(VLOOKUP(H462,SLA_Ref!$A$1:$B$8,2,FALSE),"")</f>
        <v/>
      </c>
      <c r="J462" s="1" t="str">
        <f t="shared" ca="1" si="15"/>
        <v/>
      </c>
      <c r="K462" s="11" t="e">
        <f>Tabela2[[#This Row],[SLA
Padrão]]-Tabela2[[#This Row],[SLA Atendimento]]</f>
        <v>#VALUE!</v>
      </c>
      <c r="L462" s="11"/>
      <c r="O462" s="1" t="s">
        <v>30</v>
      </c>
      <c r="P462" s="2">
        <f>Tabela2[[#This Row],[Proposta
 Inicial]]-Tabela2[[#This Row],[Proposta
 Negociada]]</f>
        <v>0</v>
      </c>
      <c r="Q462" s="4" t="e">
        <f>Tabela2[[#This Row],[Proposta
 Negociada]]/Tabela2[[#This Row],[Proposta
 Inicial]]-1</f>
        <v>#DIV/0!</v>
      </c>
      <c r="S462"/>
    </row>
    <row r="463" spans="1:19" ht="14.45">
      <c r="A463" s="9"/>
      <c r="B463" s="9"/>
      <c r="C463" s="1" t="str">
        <f t="shared" si="16"/>
        <v/>
      </c>
      <c r="I463" s="1" t="str">
        <f>IFERROR(VLOOKUP(H463,SLA_Ref!$A$1:$B$8,2,FALSE),"")</f>
        <v/>
      </c>
      <c r="J463" s="1" t="str">
        <f t="shared" ca="1" si="15"/>
        <v/>
      </c>
      <c r="K463" s="11" t="e">
        <f>Tabela2[[#This Row],[SLA
Padrão]]-Tabela2[[#This Row],[SLA Atendimento]]</f>
        <v>#VALUE!</v>
      </c>
      <c r="L463" s="11"/>
      <c r="O463" s="1" t="s">
        <v>30</v>
      </c>
      <c r="P463" s="2">
        <f>Tabela2[[#This Row],[Proposta
 Inicial]]-Tabela2[[#This Row],[Proposta
 Negociada]]</f>
        <v>0</v>
      </c>
      <c r="Q463" s="4" t="e">
        <f>Tabela2[[#This Row],[Proposta
 Negociada]]/Tabela2[[#This Row],[Proposta
 Inicial]]-1</f>
        <v>#DIV/0!</v>
      </c>
      <c r="S463"/>
    </row>
    <row r="464" spans="1:19" ht="14.45">
      <c r="A464" s="9"/>
      <c r="B464" s="9"/>
      <c r="C464" s="1" t="str">
        <f t="shared" si="16"/>
        <v/>
      </c>
      <c r="I464" s="1" t="str">
        <f>IFERROR(VLOOKUP(H464,SLA_Ref!$A$1:$B$8,2,FALSE),"")</f>
        <v/>
      </c>
      <c r="J464" s="1" t="str">
        <f t="shared" ca="1" si="15"/>
        <v/>
      </c>
      <c r="K464" s="11" t="e">
        <f>Tabela2[[#This Row],[SLA
Padrão]]-Tabela2[[#This Row],[SLA Atendimento]]</f>
        <v>#VALUE!</v>
      </c>
      <c r="L464" s="11"/>
      <c r="O464" s="1" t="s">
        <v>30</v>
      </c>
      <c r="P464" s="2">
        <f>Tabela2[[#This Row],[Proposta
 Inicial]]-Tabela2[[#This Row],[Proposta
 Negociada]]</f>
        <v>0</v>
      </c>
      <c r="Q464" s="4" t="e">
        <f>Tabela2[[#This Row],[Proposta
 Negociada]]/Tabela2[[#This Row],[Proposta
 Inicial]]-1</f>
        <v>#DIV/0!</v>
      </c>
      <c r="S464"/>
    </row>
    <row r="465" spans="1:19" ht="14.45">
      <c r="A465" s="9"/>
      <c r="B465" s="9"/>
      <c r="C465" s="1" t="str">
        <f t="shared" si="16"/>
        <v/>
      </c>
      <c r="I465" s="1" t="str">
        <f>IFERROR(VLOOKUP(H465,SLA_Ref!$A$1:$B$8,2,FALSE),"")</f>
        <v/>
      </c>
      <c r="J465" s="1" t="str">
        <f t="shared" ca="1" si="15"/>
        <v/>
      </c>
      <c r="K465" s="11" t="e">
        <f>Tabela2[[#This Row],[SLA
Padrão]]-Tabela2[[#This Row],[SLA Atendimento]]</f>
        <v>#VALUE!</v>
      </c>
      <c r="L465" s="11"/>
      <c r="O465" s="1" t="s">
        <v>30</v>
      </c>
      <c r="P465" s="2">
        <f>Tabela2[[#This Row],[Proposta
 Inicial]]-Tabela2[[#This Row],[Proposta
 Negociada]]</f>
        <v>0</v>
      </c>
      <c r="Q465" s="4" t="e">
        <f>Tabela2[[#This Row],[Proposta
 Negociada]]/Tabela2[[#This Row],[Proposta
 Inicial]]-1</f>
        <v>#DIV/0!</v>
      </c>
      <c r="S465"/>
    </row>
    <row r="466" spans="1:19" ht="14.45">
      <c r="A466" s="9"/>
      <c r="B466" s="9"/>
      <c r="C466" s="1" t="str">
        <f t="shared" si="16"/>
        <v/>
      </c>
      <c r="I466" s="1" t="str">
        <f>IFERROR(VLOOKUP(H466,SLA_Ref!$A$1:$B$8,2,FALSE),"")</f>
        <v/>
      </c>
      <c r="J466" s="1" t="str">
        <f t="shared" ca="1" si="15"/>
        <v/>
      </c>
      <c r="K466" s="11" t="e">
        <f>Tabela2[[#This Row],[SLA
Padrão]]-Tabela2[[#This Row],[SLA Atendimento]]</f>
        <v>#VALUE!</v>
      </c>
      <c r="L466" s="11"/>
      <c r="O466" s="1" t="s">
        <v>30</v>
      </c>
      <c r="P466" s="2">
        <f>Tabela2[[#This Row],[Proposta
 Inicial]]-Tabela2[[#This Row],[Proposta
 Negociada]]</f>
        <v>0</v>
      </c>
      <c r="Q466" s="4" t="e">
        <f>Tabela2[[#This Row],[Proposta
 Negociada]]/Tabela2[[#This Row],[Proposta
 Inicial]]-1</f>
        <v>#DIV/0!</v>
      </c>
      <c r="S466"/>
    </row>
    <row r="467" spans="1:19" ht="14.45">
      <c r="A467" s="9"/>
      <c r="B467" s="9"/>
      <c r="C467" s="1" t="str">
        <f t="shared" si="16"/>
        <v/>
      </c>
      <c r="I467" s="1" t="str">
        <f>IFERROR(VLOOKUP(H467,SLA_Ref!$A$1:$B$8,2,FALSE),"")</f>
        <v/>
      </c>
      <c r="J467" s="1" t="str">
        <f t="shared" ca="1" si="15"/>
        <v/>
      </c>
      <c r="K467" s="11" t="e">
        <f>Tabela2[[#This Row],[SLA
Padrão]]-Tabela2[[#This Row],[SLA Atendimento]]</f>
        <v>#VALUE!</v>
      </c>
      <c r="L467" s="11"/>
      <c r="O467" s="1" t="s">
        <v>30</v>
      </c>
      <c r="P467" s="2">
        <f>Tabela2[[#This Row],[Proposta
 Inicial]]-Tabela2[[#This Row],[Proposta
 Negociada]]</f>
        <v>0</v>
      </c>
      <c r="Q467" s="4" t="e">
        <f>Tabela2[[#This Row],[Proposta
 Negociada]]/Tabela2[[#This Row],[Proposta
 Inicial]]-1</f>
        <v>#DIV/0!</v>
      </c>
      <c r="S467"/>
    </row>
    <row r="468" spans="1:19" ht="14.45">
      <c r="A468" s="9"/>
      <c r="B468" s="9"/>
      <c r="C468" s="1" t="str">
        <f t="shared" si="16"/>
        <v/>
      </c>
      <c r="I468" s="1" t="str">
        <f>IFERROR(VLOOKUP(H468,SLA_Ref!$A$1:$B$8,2,FALSE),"")</f>
        <v/>
      </c>
      <c r="J468" s="1" t="str">
        <f t="shared" ca="1" si="15"/>
        <v/>
      </c>
      <c r="K468" s="11" t="e">
        <f>Tabela2[[#This Row],[SLA
Padrão]]-Tabela2[[#This Row],[SLA Atendimento]]</f>
        <v>#VALUE!</v>
      </c>
      <c r="L468" s="11"/>
      <c r="O468" s="1" t="s">
        <v>30</v>
      </c>
      <c r="P468" s="2">
        <f>Tabela2[[#This Row],[Proposta
 Inicial]]-Tabela2[[#This Row],[Proposta
 Negociada]]</f>
        <v>0</v>
      </c>
      <c r="Q468" s="4" t="e">
        <f>Tabela2[[#This Row],[Proposta
 Negociada]]/Tabela2[[#This Row],[Proposta
 Inicial]]-1</f>
        <v>#DIV/0!</v>
      </c>
      <c r="S468"/>
    </row>
    <row r="469" spans="1:19" ht="14.45">
      <c r="A469" s="9"/>
      <c r="B469" s="9"/>
      <c r="C469" s="1" t="str">
        <f t="shared" si="16"/>
        <v/>
      </c>
      <c r="I469" s="1" t="str">
        <f>IFERROR(VLOOKUP(H469,SLA_Ref!$A$1:$B$8,2,FALSE),"")</f>
        <v/>
      </c>
      <c r="J469" s="1" t="str">
        <f t="shared" ca="1" si="15"/>
        <v/>
      </c>
      <c r="K469" s="11" t="e">
        <f>Tabela2[[#This Row],[SLA
Padrão]]-Tabela2[[#This Row],[SLA Atendimento]]</f>
        <v>#VALUE!</v>
      </c>
      <c r="L469" s="11"/>
      <c r="O469" s="1" t="s">
        <v>30</v>
      </c>
      <c r="P469" s="2">
        <f>Tabela2[[#This Row],[Proposta
 Inicial]]-Tabela2[[#This Row],[Proposta
 Negociada]]</f>
        <v>0</v>
      </c>
      <c r="Q469" s="4" t="e">
        <f>Tabela2[[#This Row],[Proposta
 Negociada]]/Tabela2[[#This Row],[Proposta
 Inicial]]-1</f>
        <v>#DIV/0!</v>
      </c>
      <c r="S469"/>
    </row>
    <row r="470" spans="1:19" ht="14.45">
      <c r="A470" s="9"/>
      <c r="B470" s="9"/>
      <c r="C470" s="1" t="str">
        <f t="shared" si="16"/>
        <v/>
      </c>
      <c r="I470" s="1" t="str">
        <f>IFERROR(VLOOKUP(H470,SLA_Ref!$A$1:$B$8,2,FALSE),"")</f>
        <v/>
      </c>
      <c r="J470" s="1" t="str">
        <f t="shared" ca="1" si="15"/>
        <v/>
      </c>
      <c r="K470" s="11" t="e">
        <f>Tabela2[[#This Row],[SLA
Padrão]]-Tabela2[[#This Row],[SLA Atendimento]]</f>
        <v>#VALUE!</v>
      </c>
      <c r="L470" s="11"/>
      <c r="O470" s="1" t="s">
        <v>30</v>
      </c>
      <c r="P470" s="2">
        <f>Tabela2[[#This Row],[Proposta
 Inicial]]-Tabela2[[#This Row],[Proposta
 Negociada]]</f>
        <v>0</v>
      </c>
      <c r="Q470" s="4" t="e">
        <f>Tabela2[[#This Row],[Proposta
 Negociada]]/Tabela2[[#This Row],[Proposta
 Inicial]]-1</f>
        <v>#DIV/0!</v>
      </c>
      <c r="S470"/>
    </row>
    <row r="471" spans="1:19" ht="14.45">
      <c r="A471" s="9"/>
      <c r="B471" s="9"/>
      <c r="C471" s="1" t="str">
        <f t="shared" si="16"/>
        <v/>
      </c>
      <c r="I471" s="1" t="str">
        <f>IFERROR(VLOOKUP(H471,SLA_Ref!$A$1:$B$8,2,FALSE),"")</f>
        <v/>
      </c>
      <c r="J471" s="1" t="str">
        <f t="shared" ca="1" si="15"/>
        <v/>
      </c>
      <c r="K471" s="11" t="e">
        <f>Tabela2[[#This Row],[SLA
Padrão]]-Tabela2[[#This Row],[SLA Atendimento]]</f>
        <v>#VALUE!</v>
      </c>
      <c r="L471" s="11"/>
      <c r="O471" s="1" t="s">
        <v>30</v>
      </c>
      <c r="P471" s="2">
        <f>Tabela2[[#This Row],[Proposta
 Inicial]]-Tabela2[[#This Row],[Proposta
 Negociada]]</f>
        <v>0</v>
      </c>
      <c r="Q471" s="4" t="e">
        <f>Tabela2[[#This Row],[Proposta
 Negociada]]/Tabela2[[#This Row],[Proposta
 Inicial]]-1</f>
        <v>#DIV/0!</v>
      </c>
      <c r="S471"/>
    </row>
    <row r="472" spans="1:19" ht="14.45">
      <c r="A472" s="9"/>
      <c r="B472" s="9"/>
      <c r="C472" s="1" t="str">
        <f t="shared" si="16"/>
        <v/>
      </c>
      <c r="I472" s="1" t="str">
        <f>IFERROR(VLOOKUP(H472,SLA_Ref!$A$1:$B$8,2,FALSE),"")</f>
        <v/>
      </c>
      <c r="J472" s="1" t="str">
        <f t="shared" ca="1" si="15"/>
        <v/>
      </c>
      <c r="K472" s="11" t="e">
        <f>Tabela2[[#This Row],[SLA
Padrão]]-Tabela2[[#This Row],[SLA Atendimento]]</f>
        <v>#VALUE!</v>
      </c>
      <c r="L472" s="11"/>
      <c r="O472" s="1" t="s">
        <v>30</v>
      </c>
      <c r="P472" s="2">
        <f>Tabela2[[#This Row],[Proposta
 Inicial]]-Tabela2[[#This Row],[Proposta
 Negociada]]</f>
        <v>0</v>
      </c>
      <c r="Q472" s="4" t="e">
        <f>Tabela2[[#This Row],[Proposta
 Negociada]]/Tabela2[[#This Row],[Proposta
 Inicial]]-1</f>
        <v>#DIV/0!</v>
      </c>
      <c r="S472"/>
    </row>
    <row r="473" spans="1:19" ht="14.45">
      <c r="A473" s="9"/>
      <c r="B473" s="9"/>
      <c r="C473" s="1" t="str">
        <f t="shared" si="16"/>
        <v/>
      </c>
      <c r="I473" s="1" t="str">
        <f>IFERROR(VLOOKUP(H473,SLA_Ref!$A$1:$B$8,2,FALSE),"")</f>
        <v/>
      </c>
      <c r="J473" s="1" t="str">
        <f t="shared" ca="1" si="15"/>
        <v/>
      </c>
      <c r="K473" s="11" t="e">
        <f>Tabela2[[#This Row],[SLA
Padrão]]-Tabela2[[#This Row],[SLA Atendimento]]</f>
        <v>#VALUE!</v>
      </c>
      <c r="L473" s="11"/>
      <c r="O473" s="1" t="s">
        <v>30</v>
      </c>
      <c r="P473" s="2">
        <f>Tabela2[[#This Row],[Proposta
 Inicial]]-Tabela2[[#This Row],[Proposta
 Negociada]]</f>
        <v>0</v>
      </c>
      <c r="Q473" s="4" t="e">
        <f>Tabela2[[#This Row],[Proposta
 Negociada]]/Tabela2[[#This Row],[Proposta
 Inicial]]-1</f>
        <v>#DIV/0!</v>
      </c>
      <c r="S473"/>
    </row>
    <row r="474" spans="1:19" ht="14.45">
      <c r="A474" s="9"/>
      <c r="B474" s="9"/>
      <c r="C474" s="1" t="str">
        <f t="shared" si="16"/>
        <v/>
      </c>
      <c r="I474" s="1" t="str">
        <f>IFERROR(VLOOKUP(H474,SLA_Ref!$A$1:$B$8,2,FALSE),"")</f>
        <v/>
      </c>
      <c r="J474" s="1" t="str">
        <f t="shared" ca="1" si="15"/>
        <v/>
      </c>
      <c r="K474" s="11" t="e">
        <f>Tabela2[[#This Row],[SLA
Padrão]]-Tabela2[[#This Row],[SLA Atendimento]]</f>
        <v>#VALUE!</v>
      </c>
      <c r="L474" s="11"/>
      <c r="O474" s="1" t="s">
        <v>30</v>
      </c>
      <c r="P474" s="2">
        <f>Tabela2[[#This Row],[Proposta
 Inicial]]-Tabela2[[#This Row],[Proposta
 Negociada]]</f>
        <v>0</v>
      </c>
      <c r="Q474" s="4" t="e">
        <f>Tabela2[[#This Row],[Proposta
 Negociada]]/Tabela2[[#This Row],[Proposta
 Inicial]]-1</f>
        <v>#DIV/0!</v>
      </c>
      <c r="S474"/>
    </row>
    <row r="475" spans="1:19" ht="14.45">
      <c r="A475" s="9"/>
      <c r="B475" s="9"/>
      <c r="C475" s="1" t="str">
        <f t="shared" si="16"/>
        <v/>
      </c>
      <c r="I475" s="1" t="str">
        <f>IFERROR(VLOOKUP(H475,SLA_Ref!$A$1:$B$8,2,FALSE),"")</f>
        <v/>
      </c>
      <c r="J475" s="1" t="str">
        <f t="shared" ca="1" si="15"/>
        <v/>
      </c>
      <c r="K475" s="11" t="e">
        <f>Tabela2[[#This Row],[SLA
Padrão]]-Tabela2[[#This Row],[SLA Atendimento]]</f>
        <v>#VALUE!</v>
      </c>
      <c r="L475" s="11"/>
      <c r="O475" s="1" t="s">
        <v>30</v>
      </c>
      <c r="P475" s="2">
        <f>Tabela2[[#This Row],[Proposta
 Inicial]]-Tabela2[[#This Row],[Proposta
 Negociada]]</f>
        <v>0</v>
      </c>
      <c r="Q475" s="4" t="e">
        <f>Tabela2[[#This Row],[Proposta
 Negociada]]/Tabela2[[#This Row],[Proposta
 Inicial]]-1</f>
        <v>#DIV/0!</v>
      </c>
      <c r="S475"/>
    </row>
    <row r="476" spans="1:19" ht="14.45">
      <c r="A476" s="9"/>
      <c r="B476" s="9"/>
      <c r="C476" s="1" t="str">
        <f t="shared" si="16"/>
        <v/>
      </c>
      <c r="I476" s="1" t="str">
        <f>IFERROR(VLOOKUP(H476,SLA_Ref!$A$1:$B$8,2,FALSE),"")</f>
        <v/>
      </c>
      <c r="J476" s="1" t="str">
        <f t="shared" ca="1" si="15"/>
        <v/>
      </c>
      <c r="K476" s="11" t="e">
        <f>Tabela2[[#This Row],[SLA
Padrão]]-Tabela2[[#This Row],[SLA Atendimento]]</f>
        <v>#VALUE!</v>
      </c>
      <c r="L476" s="11"/>
      <c r="O476" s="1" t="s">
        <v>30</v>
      </c>
      <c r="P476" s="2">
        <f>Tabela2[[#This Row],[Proposta
 Inicial]]-Tabela2[[#This Row],[Proposta
 Negociada]]</f>
        <v>0</v>
      </c>
      <c r="Q476" s="4" t="e">
        <f>Tabela2[[#This Row],[Proposta
 Negociada]]/Tabela2[[#This Row],[Proposta
 Inicial]]-1</f>
        <v>#DIV/0!</v>
      </c>
      <c r="S476"/>
    </row>
    <row r="477" spans="1:19" ht="14.45">
      <c r="A477" s="9"/>
      <c r="B477" s="9"/>
      <c r="C477" s="1" t="str">
        <f t="shared" si="16"/>
        <v/>
      </c>
      <c r="I477" s="1" t="str">
        <f>IFERROR(VLOOKUP(H477,SLA_Ref!$A$1:$B$8,2,FALSE),"")</f>
        <v/>
      </c>
      <c r="J477" s="1" t="str">
        <f t="shared" ca="1" si="15"/>
        <v/>
      </c>
      <c r="K477" s="11" t="e">
        <f>Tabela2[[#This Row],[SLA
Padrão]]-Tabela2[[#This Row],[SLA Atendimento]]</f>
        <v>#VALUE!</v>
      </c>
      <c r="L477" s="11"/>
      <c r="O477" s="1" t="s">
        <v>30</v>
      </c>
      <c r="P477" s="2">
        <f>Tabela2[[#This Row],[Proposta
 Inicial]]-Tabela2[[#This Row],[Proposta
 Negociada]]</f>
        <v>0</v>
      </c>
      <c r="Q477" s="4" t="e">
        <f>Tabela2[[#This Row],[Proposta
 Negociada]]/Tabela2[[#This Row],[Proposta
 Inicial]]-1</f>
        <v>#DIV/0!</v>
      </c>
      <c r="S477"/>
    </row>
    <row r="478" spans="1:19" ht="14.45">
      <c r="A478" s="9"/>
      <c r="B478" s="9"/>
      <c r="C478" s="1" t="str">
        <f t="shared" si="16"/>
        <v/>
      </c>
      <c r="I478" s="1" t="str">
        <f>IFERROR(VLOOKUP(H478,SLA_Ref!$A$1:$B$8,2,FALSE),"")</f>
        <v/>
      </c>
      <c r="J478" s="1" t="str">
        <f t="shared" ca="1" si="15"/>
        <v/>
      </c>
      <c r="K478" s="11" t="e">
        <f>Tabela2[[#This Row],[SLA
Padrão]]-Tabela2[[#This Row],[SLA Atendimento]]</f>
        <v>#VALUE!</v>
      </c>
      <c r="L478" s="11"/>
      <c r="O478" s="1" t="s">
        <v>30</v>
      </c>
      <c r="P478" s="2">
        <f>Tabela2[[#This Row],[Proposta
 Inicial]]-Tabela2[[#This Row],[Proposta
 Negociada]]</f>
        <v>0</v>
      </c>
      <c r="Q478" s="4" t="e">
        <f>Tabela2[[#This Row],[Proposta
 Negociada]]/Tabela2[[#This Row],[Proposta
 Inicial]]-1</f>
        <v>#DIV/0!</v>
      </c>
      <c r="S478"/>
    </row>
    <row r="479" spans="1:19" ht="14.45">
      <c r="A479" s="9"/>
      <c r="B479" s="9"/>
      <c r="C479" s="1" t="str">
        <f t="shared" si="16"/>
        <v/>
      </c>
      <c r="I479" s="1" t="str">
        <f>IFERROR(VLOOKUP(H479,SLA_Ref!$A$1:$B$8,2,FALSE),"")</f>
        <v/>
      </c>
      <c r="J479" s="1" t="str">
        <f t="shared" ca="1" si="15"/>
        <v/>
      </c>
      <c r="K479" s="11" t="e">
        <f>Tabela2[[#This Row],[SLA
Padrão]]-Tabela2[[#This Row],[SLA Atendimento]]</f>
        <v>#VALUE!</v>
      </c>
      <c r="L479" s="11"/>
      <c r="O479" s="1" t="s">
        <v>30</v>
      </c>
      <c r="P479" s="2">
        <f>Tabela2[[#This Row],[Proposta
 Inicial]]-Tabela2[[#This Row],[Proposta
 Negociada]]</f>
        <v>0</v>
      </c>
      <c r="Q479" s="4" t="e">
        <f>Tabela2[[#This Row],[Proposta
 Negociada]]/Tabela2[[#This Row],[Proposta
 Inicial]]-1</f>
        <v>#DIV/0!</v>
      </c>
      <c r="S479"/>
    </row>
    <row r="480" spans="1:19" ht="14.45">
      <c r="A480" s="9"/>
      <c r="B480" s="9"/>
      <c r="C480" s="1" t="str">
        <f t="shared" si="16"/>
        <v/>
      </c>
      <c r="I480" s="1" t="str">
        <f>IFERROR(VLOOKUP(H480,SLA_Ref!$A$1:$B$8,2,FALSE),"")</f>
        <v/>
      </c>
      <c r="J480" s="1" t="str">
        <f t="shared" ca="1" si="15"/>
        <v/>
      </c>
      <c r="K480" s="11" t="e">
        <f>Tabela2[[#This Row],[SLA
Padrão]]-Tabela2[[#This Row],[SLA Atendimento]]</f>
        <v>#VALUE!</v>
      </c>
      <c r="L480" s="11"/>
      <c r="O480" s="1" t="s">
        <v>30</v>
      </c>
      <c r="P480" s="2">
        <f>Tabela2[[#This Row],[Proposta
 Inicial]]-Tabela2[[#This Row],[Proposta
 Negociada]]</f>
        <v>0</v>
      </c>
      <c r="Q480" s="4" t="e">
        <f>Tabela2[[#This Row],[Proposta
 Negociada]]/Tabela2[[#This Row],[Proposta
 Inicial]]-1</f>
        <v>#DIV/0!</v>
      </c>
      <c r="S480"/>
    </row>
    <row r="481" spans="1:19" ht="14.45">
      <c r="A481" s="9"/>
      <c r="B481" s="9"/>
      <c r="C481" s="1" t="str">
        <f t="shared" si="16"/>
        <v/>
      </c>
      <c r="I481" s="1" t="str">
        <f>IFERROR(VLOOKUP(H481,SLA_Ref!$A$1:$B$8,2,FALSE),"")</f>
        <v/>
      </c>
      <c r="J481" s="1" t="str">
        <f t="shared" ca="1" si="15"/>
        <v/>
      </c>
      <c r="K481" s="11" t="e">
        <f>Tabela2[[#This Row],[SLA
Padrão]]-Tabela2[[#This Row],[SLA Atendimento]]</f>
        <v>#VALUE!</v>
      </c>
      <c r="L481" s="11"/>
      <c r="O481" s="1" t="s">
        <v>30</v>
      </c>
      <c r="P481" s="2">
        <f>Tabela2[[#This Row],[Proposta
 Inicial]]-Tabela2[[#This Row],[Proposta
 Negociada]]</f>
        <v>0</v>
      </c>
      <c r="Q481" s="4" t="e">
        <f>Tabela2[[#This Row],[Proposta
 Negociada]]/Tabela2[[#This Row],[Proposta
 Inicial]]-1</f>
        <v>#DIV/0!</v>
      </c>
      <c r="S481"/>
    </row>
    <row r="482" spans="1:19" ht="14.45">
      <c r="A482" s="9"/>
      <c r="B482" s="9"/>
      <c r="C482" s="1" t="str">
        <f t="shared" si="16"/>
        <v/>
      </c>
      <c r="I482" s="1" t="str">
        <f>IFERROR(VLOOKUP(H482,SLA_Ref!$A$1:$B$8,2,FALSE),"")</f>
        <v/>
      </c>
      <c r="J482" s="1" t="str">
        <f t="shared" ca="1" si="15"/>
        <v/>
      </c>
      <c r="K482" s="11" t="e">
        <f>Tabela2[[#This Row],[SLA
Padrão]]-Tabela2[[#This Row],[SLA Atendimento]]</f>
        <v>#VALUE!</v>
      </c>
      <c r="L482" s="11"/>
      <c r="O482" s="1" t="s">
        <v>30</v>
      </c>
      <c r="P482" s="2">
        <f>Tabela2[[#This Row],[Proposta
 Inicial]]-Tabela2[[#This Row],[Proposta
 Negociada]]</f>
        <v>0</v>
      </c>
      <c r="Q482" s="4" t="e">
        <f>Tabela2[[#This Row],[Proposta
 Negociada]]/Tabela2[[#This Row],[Proposta
 Inicial]]-1</f>
        <v>#DIV/0!</v>
      </c>
      <c r="S482"/>
    </row>
    <row r="483" spans="1:19" ht="14.45">
      <c r="A483" s="9"/>
      <c r="B483" s="9"/>
      <c r="C483" s="1" t="str">
        <f t="shared" si="16"/>
        <v/>
      </c>
      <c r="I483" s="1" t="str">
        <f>IFERROR(VLOOKUP(H483,SLA_Ref!$A$1:$B$8,2,FALSE),"")</f>
        <v/>
      </c>
      <c r="J483" s="1" t="str">
        <f t="shared" ca="1" si="15"/>
        <v/>
      </c>
      <c r="K483" s="11" t="e">
        <f>Tabela2[[#This Row],[SLA
Padrão]]-Tabela2[[#This Row],[SLA Atendimento]]</f>
        <v>#VALUE!</v>
      </c>
      <c r="L483" s="11"/>
      <c r="O483" s="1" t="s">
        <v>30</v>
      </c>
      <c r="P483" s="2">
        <f>Tabela2[[#This Row],[Proposta
 Inicial]]-Tabela2[[#This Row],[Proposta
 Negociada]]</f>
        <v>0</v>
      </c>
      <c r="Q483" s="4" t="e">
        <f>Tabela2[[#This Row],[Proposta
 Negociada]]/Tabela2[[#This Row],[Proposta
 Inicial]]-1</f>
        <v>#DIV/0!</v>
      </c>
      <c r="S483"/>
    </row>
    <row r="484" spans="1:19" ht="14.45">
      <c r="A484" s="9"/>
      <c r="B484" s="9"/>
      <c r="C484" s="1" t="str">
        <f t="shared" si="16"/>
        <v/>
      </c>
      <c r="I484" s="1" t="str">
        <f>IFERROR(VLOOKUP(H484,SLA_Ref!$A$1:$B$8,2,FALSE),"")</f>
        <v/>
      </c>
      <c r="J484" s="1" t="str">
        <f t="shared" ca="1" si="15"/>
        <v/>
      </c>
      <c r="K484" s="11" t="e">
        <f>Tabela2[[#This Row],[SLA
Padrão]]-Tabela2[[#This Row],[SLA Atendimento]]</f>
        <v>#VALUE!</v>
      </c>
      <c r="L484" s="11"/>
      <c r="O484" s="1" t="s">
        <v>30</v>
      </c>
      <c r="P484" s="2">
        <f>Tabela2[[#This Row],[Proposta
 Inicial]]-Tabela2[[#This Row],[Proposta
 Negociada]]</f>
        <v>0</v>
      </c>
      <c r="Q484" s="4" t="e">
        <f>Tabela2[[#This Row],[Proposta
 Negociada]]/Tabela2[[#This Row],[Proposta
 Inicial]]-1</f>
        <v>#DIV/0!</v>
      </c>
      <c r="S484"/>
    </row>
    <row r="485" spans="1:19" ht="14.45">
      <c r="A485" s="9"/>
      <c r="B485" s="9"/>
      <c r="C485" s="1" t="str">
        <f t="shared" si="16"/>
        <v/>
      </c>
      <c r="I485" s="1" t="str">
        <f>IFERROR(VLOOKUP(H485,SLA_Ref!$A$1:$B$8,2,FALSE),"")</f>
        <v/>
      </c>
      <c r="J485" s="1" t="str">
        <f t="shared" ca="1" si="15"/>
        <v/>
      </c>
      <c r="K485" s="11" t="e">
        <f>Tabela2[[#This Row],[SLA
Padrão]]-Tabela2[[#This Row],[SLA Atendimento]]</f>
        <v>#VALUE!</v>
      </c>
      <c r="L485" s="11"/>
      <c r="O485" s="1" t="s">
        <v>30</v>
      </c>
      <c r="P485" s="2">
        <f>Tabela2[[#This Row],[Proposta
 Inicial]]-Tabela2[[#This Row],[Proposta
 Negociada]]</f>
        <v>0</v>
      </c>
      <c r="Q485" s="4" t="e">
        <f>Tabela2[[#This Row],[Proposta
 Negociada]]/Tabela2[[#This Row],[Proposta
 Inicial]]-1</f>
        <v>#DIV/0!</v>
      </c>
      <c r="S485"/>
    </row>
    <row r="486" spans="1:19" ht="14.45">
      <c r="A486" s="9"/>
      <c r="B486" s="9"/>
      <c r="C486" s="1" t="str">
        <f t="shared" si="16"/>
        <v/>
      </c>
      <c r="I486" s="1" t="str">
        <f>IFERROR(VLOOKUP(H486,SLA_Ref!$A$1:$B$8,2,FALSE),"")</f>
        <v/>
      </c>
      <c r="J486" s="1" t="str">
        <f t="shared" ca="1" si="15"/>
        <v/>
      </c>
      <c r="K486" s="11" t="e">
        <f>Tabela2[[#This Row],[SLA
Padrão]]-Tabela2[[#This Row],[SLA Atendimento]]</f>
        <v>#VALUE!</v>
      </c>
      <c r="L486" s="11"/>
      <c r="O486" s="1" t="s">
        <v>30</v>
      </c>
      <c r="P486" s="2">
        <f>Tabela2[[#This Row],[Proposta
 Inicial]]-Tabela2[[#This Row],[Proposta
 Negociada]]</f>
        <v>0</v>
      </c>
      <c r="Q486" s="4" t="e">
        <f>Tabela2[[#This Row],[Proposta
 Negociada]]/Tabela2[[#This Row],[Proposta
 Inicial]]-1</f>
        <v>#DIV/0!</v>
      </c>
      <c r="S486"/>
    </row>
    <row r="487" spans="1:19" ht="14.45">
      <c r="A487" s="9"/>
      <c r="B487" s="9"/>
      <c r="C487" s="1" t="str">
        <f t="shared" si="16"/>
        <v/>
      </c>
      <c r="I487" s="1" t="str">
        <f>IFERROR(VLOOKUP(H487,SLA_Ref!$A$1:$B$8,2,FALSE),"")</f>
        <v/>
      </c>
      <c r="J487" s="1" t="str">
        <f t="shared" ca="1" si="15"/>
        <v/>
      </c>
      <c r="K487" s="11" t="e">
        <f>Tabela2[[#This Row],[SLA
Padrão]]-Tabela2[[#This Row],[SLA Atendimento]]</f>
        <v>#VALUE!</v>
      </c>
      <c r="L487" s="11"/>
      <c r="O487" s="1" t="s">
        <v>30</v>
      </c>
      <c r="P487" s="2">
        <f>Tabela2[[#This Row],[Proposta
 Inicial]]-Tabela2[[#This Row],[Proposta
 Negociada]]</f>
        <v>0</v>
      </c>
      <c r="Q487" s="4" t="e">
        <f>Tabela2[[#This Row],[Proposta
 Negociada]]/Tabela2[[#This Row],[Proposta
 Inicial]]-1</f>
        <v>#DIV/0!</v>
      </c>
      <c r="S487"/>
    </row>
    <row r="488" spans="1:19" ht="14.45">
      <c r="A488" s="9"/>
      <c r="B488" s="9"/>
      <c r="C488" s="1" t="str">
        <f t="shared" si="16"/>
        <v/>
      </c>
      <c r="I488" s="1" t="str">
        <f>IFERROR(VLOOKUP(H488,SLA_Ref!$A$1:$B$8,2,FALSE),"")</f>
        <v/>
      </c>
      <c r="J488" s="1" t="str">
        <f t="shared" ca="1" si="15"/>
        <v/>
      </c>
      <c r="K488" s="11" t="e">
        <f>Tabela2[[#This Row],[SLA
Padrão]]-Tabela2[[#This Row],[SLA Atendimento]]</f>
        <v>#VALUE!</v>
      </c>
      <c r="L488" s="11"/>
      <c r="O488" s="1" t="s">
        <v>30</v>
      </c>
      <c r="P488" s="2">
        <f>Tabela2[[#This Row],[Proposta
 Inicial]]-Tabela2[[#This Row],[Proposta
 Negociada]]</f>
        <v>0</v>
      </c>
      <c r="Q488" s="4" t="e">
        <f>Tabela2[[#This Row],[Proposta
 Negociada]]/Tabela2[[#This Row],[Proposta
 Inicial]]-1</f>
        <v>#DIV/0!</v>
      </c>
      <c r="S488"/>
    </row>
    <row r="489" spans="1:19" ht="14.45">
      <c r="A489" s="9"/>
      <c r="B489" s="9"/>
      <c r="C489" s="1" t="str">
        <f t="shared" si="16"/>
        <v/>
      </c>
      <c r="I489" s="1" t="str">
        <f>IFERROR(VLOOKUP(H489,SLA_Ref!$A$1:$B$8,2,FALSE),"")</f>
        <v/>
      </c>
      <c r="J489" s="1" t="str">
        <f t="shared" ca="1" si="15"/>
        <v/>
      </c>
      <c r="K489" s="11" t="e">
        <f>Tabela2[[#This Row],[SLA
Padrão]]-Tabela2[[#This Row],[SLA Atendimento]]</f>
        <v>#VALUE!</v>
      </c>
      <c r="L489" s="11"/>
      <c r="O489" s="1" t="s">
        <v>30</v>
      </c>
      <c r="P489" s="2">
        <f>Tabela2[[#This Row],[Proposta
 Inicial]]-Tabela2[[#This Row],[Proposta
 Negociada]]</f>
        <v>0</v>
      </c>
      <c r="Q489" s="4" t="e">
        <f>Tabela2[[#This Row],[Proposta
 Negociada]]/Tabela2[[#This Row],[Proposta
 Inicial]]-1</f>
        <v>#DIV/0!</v>
      </c>
      <c r="S489"/>
    </row>
    <row r="490" spans="1:19" ht="14.45">
      <c r="A490" s="9"/>
      <c r="B490" s="9"/>
      <c r="C490" s="1" t="str">
        <f t="shared" si="16"/>
        <v/>
      </c>
      <c r="I490" s="1" t="str">
        <f>IFERROR(VLOOKUP(H490,SLA_Ref!$A$1:$B$8,2,FALSE),"")</f>
        <v/>
      </c>
      <c r="J490" s="1" t="str">
        <f t="shared" ca="1" si="15"/>
        <v/>
      </c>
      <c r="K490" s="11" t="e">
        <f>Tabela2[[#This Row],[SLA
Padrão]]-Tabela2[[#This Row],[SLA Atendimento]]</f>
        <v>#VALUE!</v>
      </c>
      <c r="L490" s="11"/>
      <c r="O490" s="1" t="s">
        <v>30</v>
      </c>
      <c r="P490" s="2">
        <f>Tabela2[[#This Row],[Proposta
 Inicial]]-Tabela2[[#This Row],[Proposta
 Negociada]]</f>
        <v>0</v>
      </c>
      <c r="Q490" s="4" t="e">
        <f>Tabela2[[#This Row],[Proposta
 Negociada]]/Tabela2[[#This Row],[Proposta
 Inicial]]-1</f>
        <v>#DIV/0!</v>
      </c>
      <c r="S490"/>
    </row>
    <row r="491" spans="1:19" ht="14.45">
      <c r="A491" s="9"/>
      <c r="B491" s="9"/>
      <c r="C491" s="1" t="str">
        <f t="shared" si="16"/>
        <v/>
      </c>
      <c r="I491" s="1" t="str">
        <f>IFERROR(VLOOKUP(H491,SLA_Ref!$A$1:$B$8,2,FALSE),"")</f>
        <v/>
      </c>
      <c r="J491" s="1" t="str">
        <f t="shared" ref="J491:J554" ca="1" si="17">IF(A491="","",IF(B491="",IF(TODAY()-A491&gt;I491,"ATRASADA","EM ANDAMENTO"),IF(B491-A491&gt;I491,"ATRASADA","NO PRAZO")))</f>
        <v/>
      </c>
      <c r="K491" s="11" t="e">
        <f>Tabela2[[#This Row],[SLA
Padrão]]-Tabela2[[#This Row],[SLA Atendimento]]</f>
        <v>#VALUE!</v>
      </c>
      <c r="L491" s="11"/>
      <c r="O491" s="1" t="s">
        <v>30</v>
      </c>
      <c r="P491" s="2">
        <f>Tabela2[[#This Row],[Proposta
 Inicial]]-Tabela2[[#This Row],[Proposta
 Negociada]]</f>
        <v>0</v>
      </c>
      <c r="Q491" s="4" t="e">
        <f>Tabela2[[#This Row],[Proposta
 Negociada]]/Tabela2[[#This Row],[Proposta
 Inicial]]-1</f>
        <v>#DIV/0!</v>
      </c>
      <c r="S491"/>
    </row>
    <row r="492" spans="1:19" ht="14.45">
      <c r="A492" s="9"/>
      <c r="B492" s="9"/>
      <c r="C492" s="1" t="str">
        <f t="shared" si="16"/>
        <v/>
      </c>
      <c r="I492" s="1" t="str">
        <f>IFERROR(VLOOKUP(H492,SLA_Ref!$A$1:$B$8,2,FALSE),"")</f>
        <v/>
      </c>
      <c r="J492" s="1" t="str">
        <f t="shared" ca="1" si="17"/>
        <v/>
      </c>
      <c r="K492" s="11" t="e">
        <f>Tabela2[[#This Row],[SLA
Padrão]]-Tabela2[[#This Row],[SLA Atendimento]]</f>
        <v>#VALUE!</v>
      </c>
      <c r="L492" s="11"/>
      <c r="O492" s="1" t="s">
        <v>30</v>
      </c>
      <c r="P492" s="2">
        <f>Tabela2[[#This Row],[Proposta
 Inicial]]-Tabela2[[#This Row],[Proposta
 Negociada]]</f>
        <v>0</v>
      </c>
      <c r="Q492" s="4" t="e">
        <f>Tabela2[[#This Row],[Proposta
 Negociada]]/Tabela2[[#This Row],[Proposta
 Inicial]]-1</f>
        <v>#DIV/0!</v>
      </c>
      <c r="S492"/>
    </row>
    <row r="493" spans="1:19" ht="14.45">
      <c r="A493" s="9"/>
      <c r="B493" s="9"/>
      <c r="C493" s="1" t="str">
        <f t="shared" si="16"/>
        <v/>
      </c>
      <c r="I493" s="1" t="str">
        <f>IFERROR(VLOOKUP(H493,SLA_Ref!$A$1:$B$8,2,FALSE),"")</f>
        <v/>
      </c>
      <c r="J493" s="1" t="str">
        <f t="shared" ca="1" si="17"/>
        <v/>
      </c>
      <c r="K493" s="11" t="e">
        <f>Tabela2[[#This Row],[SLA
Padrão]]-Tabela2[[#This Row],[SLA Atendimento]]</f>
        <v>#VALUE!</v>
      </c>
      <c r="L493" s="11"/>
      <c r="O493" s="1" t="s">
        <v>30</v>
      </c>
      <c r="P493" s="2">
        <f>Tabela2[[#This Row],[Proposta
 Inicial]]-Tabela2[[#This Row],[Proposta
 Negociada]]</f>
        <v>0</v>
      </c>
      <c r="Q493" s="4" t="e">
        <f>Tabela2[[#This Row],[Proposta
 Negociada]]/Tabela2[[#This Row],[Proposta
 Inicial]]-1</f>
        <v>#DIV/0!</v>
      </c>
      <c r="S493"/>
    </row>
    <row r="494" spans="1:19" ht="14.45">
      <c r="A494" s="9"/>
      <c r="B494" s="9"/>
      <c r="C494" s="1">
        <f>Tabela2[[#This Row],[Data
Pedido]]-Tabela2[[#This Row],[Data Última Aprovação RC]]</f>
        <v>0</v>
      </c>
      <c r="J494" s="1" t="str">
        <f t="shared" ca="1" si="17"/>
        <v/>
      </c>
      <c r="K494" s="11">
        <f>Tabela2[[#This Row],[SLA
Padrão]]-Tabela2[[#This Row],[SLA Atendimento]]</f>
        <v>0</v>
      </c>
      <c r="L494" s="11"/>
      <c r="O494" s="1" t="s">
        <v>30</v>
      </c>
      <c r="P494" s="2">
        <f>Tabela2[[#This Row],[Proposta
 Inicial]]-Tabela2[[#This Row],[Proposta
 Negociada]]</f>
        <v>0</v>
      </c>
      <c r="Q494" s="4" t="e">
        <f>Tabela2[[#This Row],[Proposta
 Negociada]]/Tabela2[[#This Row],[Proposta
 Inicial]]-1</f>
        <v>#DIV/0!</v>
      </c>
      <c r="S494"/>
    </row>
    <row r="495" spans="1:19" ht="15" customHeight="1">
      <c r="A495" s="9"/>
      <c r="B495" s="9"/>
      <c r="C495" s="1">
        <f>Tabela2[[#This Row],[Data
Pedido]]-Tabela2[[#This Row],[Data Última Aprovação RC]]</f>
        <v>0</v>
      </c>
      <c r="J495" s="1" t="str">
        <f t="shared" ca="1" si="17"/>
        <v/>
      </c>
      <c r="K495" s="11">
        <f>Tabela2[[#This Row],[SLA
Padrão]]-Tabela2[[#This Row],[SLA Atendimento]]</f>
        <v>0</v>
      </c>
      <c r="L495" s="11"/>
      <c r="O495" s="1" t="s">
        <v>30</v>
      </c>
      <c r="P495" s="2">
        <f>Tabela2[[#This Row],[Proposta
 Inicial]]-Tabela2[[#This Row],[Proposta
 Negociada]]</f>
        <v>0</v>
      </c>
      <c r="Q495" s="4" t="e">
        <f>Tabela2[[#This Row],[Proposta
 Negociada]]/Tabela2[[#This Row],[Proposta
 Inicial]]-1</f>
        <v>#DIV/0!</v>
      </c>
      <c r="S495"/>
    </row>
    <row r="496" spans="1:19" ht="15" customHeight="1">
      <c r="A496" s="9"/>
      <c r="B496" s="9"/>
      <c r="C496" s="1">
        <f>Tabela2[[#This Row],[Data
Pedido]]-Tabela2[[#This Row],[Data Última Aprovação RC]]</f>
        <v>0</v>
      </c>
      <c r="J496" s="1" t="str">
        <f t="shared" ca="1" si="17"/>
        <v/>
      </c>
      <c r="K496" s="11">
        <f>Tabela2[[#This Row],[SLA
Padrão]]-Tabela2[[#This Row],[SLA Atendimento]]</f>
        <v>0</v>
      </c>
      <c r="L496" s="11"/>
      <c r="O496" s="1" t="s">
        <v>30</v>
      </c>
      <c r="P496" s="2">
        <f>Tabela2[[#This Row],[Proposta
 Inicial]]-Tabela2[[#This Row],[Proposta
 Negociada]]</f>
        <v>0</v>
      </c>
      <c r="Q496" s="4" t="e">
        <f>Tabela2[[#This Row],[Proposta
 Negociada]]/Tabela2[[#This Row],[Proposta
 Inicial]]-1</f>
        <v>#DIV/0!</v>
      </c>
      <c r="S496"/>
    </row>
    <row r="497" spans="1:19" ht="15" customHeight="1">
      <c r="A497" s="9"/>
      <c r="B497" s="9"/>
      <c r="C497" s="1">
        <f>Tabela2[[#This Row],[Data
Pedido]]-Tabela2[[#This Row],[Data Última Aprovação RC]]</f>
        <v>0</v>
      </c>
      <c r="J497" s="1" t="str">
        <f t="shared" ca="1" si="17"/>
        <v/>
      </c>
      <c r="K497" s="11">
        <f>Tabela2[[#This Row],[SLA
Padrão]]-Tabela2[[#This Row],[SLA Atendimento]]</f>
        <v>0</v>
      </c>
      <c r="L497" s="11"/>
      <c r="O497" s="1" t="s">
        <v>30</v>
      </c>
      <c r="P497" s="2">
        <f>Tabela2[[#This Row],[Proposta
 Inicial]]-Tabela2[[#This Row],[Proposta
 Negociada]]</f>
        <v>0</v>
      </c>
      <c r="Q497" s="4" t="e">
        <f>Tabela2[[#This Row],[Proposta
 Negociada]]/Tabela2[[#This Row],[Proposta
 Inicial]]-1</f>
        <v>#DIV/0!</v>
      </c>
      <c r="S497"/>
    </row>
    <row r="498" spans="1:19" ht="15" customHeight="1">
      <c r="A498" s="9"/>
      <c r="B498" s="9"/>
      <c r="C498" s="1">
        <f>Tabela2[[#This Row],[Data
Pedido]]-Tabela2[[#This Row],[Data Última Aprovação RC]]</f>
        <v>0</v>
      </c>
      <c r="J498" s="1" t="str">
        <f t="shared" ca="1" si="17"/>
        <v/>
      </c>
      <c r="K498" s="11">
        <f>Tabela2[[#This Row],[SLA
Padrão]]-Tabela2[[#This Row],[SLA Atendimento]]</f>
        <v>0</v>
      </c>
      <c r="L498" s="11"/>
      <c r="O498" s="1" t="s">
        <v>30</v>
      </c>
      <c r="P498" s="2">
        <f>Tabela2[[#This Row],[Proposta
 Inicial]]-Tabela2[[#This Row],[Proposta
 Negociada]]</f>
        <v>0</v>
      </c>
      <c r="Q498" s="4" t="e">
        <f>Tabela2[[#This Row],[Proposta
 Negociada]]/Tabela2[[#This Row],[Proposta
 Inicial]]-1</f>
        <v>#DIV/0!</v>
      </c>
      <c r="S498"/>
    </row>
    <row r="499" spans="1:19" ht="15" customHeight="1">
      <c r="A499" s="9"/>
      <c r="B499" s="9"/>
      <c r="C499" s="1">
        <f>Tabela2[[#This Row],[Data
Pedido]]-Tabela2[[#This Row],[Data Última Aprovação RC]]</f>
        <v>0</v>
      </c>
      <c r="J499" s="1" t="str">
        <f t="shared" ca="1" si="17"/>
        <v/>
      </c>
      <c r="K499" s="11">
        <f>Tabela2[[#This Row],[SLA
Padrão]]-Tabela2[[#This Row],[SLA Atendimento]]</f>
        <v>0</v>
      </c>
      <c r="L499" s="11"/>
      <c r="O499" s="1" t="s">
        <v>30</v>
      </c>
      <c r="P499" s="2">
        <f>Tabela2[[#This Row],[Proposta
 Inicial]]-Tabela2[[#This Row],[Proposta
 Negociada]]</f>
        <v>0</v>
      </c>
      <c r="Q499" s="4" t="e">
        <f>Tabela2[[#This Row],[Proposta
 Negociada]]/Tabela2[[#This Row],[Proposta
 Inicial]]-1</f>
        <v>#DIV/0!</v>
      </c>
      <c r="S499"/>
    </row>
    <row r="500" spans="1:19" ht="15" customHeight="1">
      <c r="A500" s="9"/>
      <c r="B500" s="9"/>
      <c r="C500" s="1">
        <f>Tabela2[[#This Row],[Data
Pedido]]-Tabela2[[#This Row],[Data Última Aprovação RC]]</f>
        <v>0</v>
      </c>
      <c r="J500" s="1" t="str">
        <f t="shared" ca="1" si="17"/>
        <v/>
      </c>
      <c r="K500" s="11">
        <f>Tabela2[[#This Row],[SLA
Padrão]]-Tabela2[[#This Row],[SLA Atendimento]]</f>
        <v>0</v>
      </c>
      <c r="L500" s="11"/>
      <c r="O500" s="1" t="s">
        <v>30</v>
      </c>
      <c r="P500" s="2">
        <f>Tabela2[[#This Row],[Proposta
 Inicial]]-Tabela2[[#This Row],[Proposta
 Negociada]]</f>
        <v>0</v>
      </c>
      <c r="Q500" s="4" t="e">
        <f>Tabela2[[#This Row],[Proposta
 Negociada]]/Tabela2[[#This Row],[Proposta
 Inicial]]-1</f>
        <v>#DIV/0!</v>
      </c>
      <c r="S500"/>
    </row>
    <row r="501" spans="1:19" ht="15" customHeight="1">
      <c r="A501" s="9"/>
      <c r="B501" s="9"/>
      <c r="C501" s="1">
        <f>Tabela2[[#This Row],[Data
Pedido]]-Tabela2[[#This Row],[Data Última Aprovação RC]]</f>
        <v>0</v>
      </c>
      <c r="J501" s="1" t="str">
        <f t="shared" ca="1" si="17"/>
        <v/>
      </c>
      <c r="K501" s="11">
        <f>Tabela2[[#This Row],[SLA
Padrão]]-Tabela2[[#This Row],[SLA Atendimento]]</f>
        <v>0</v>
      </c>
      <c r="L501" s="11"/>
      <c r="O501" s="1" t="s">
        <v>30</v>
      </c>
      <c r="P501" s="2">
        <f>Tabela2[[#This Row],[Proposta
 Inicial]]-Tabela2[[#This Row],[Proposta
 Negociada]]</f>
        <v>0</v>
      </c>
      <c r="Q501" s="4" t="e">
        <f>Tabela2[[#This Row],[Proposta
 Negociada]]/Tabela2[[#This Row],[Proposta
 Inicial]]-1</f>
        <v>#DIV/0!</v>
      </c>
      <c r="S501"/>
    </row>
    <row r="502" spans="1:19" ht="15" customHeight="1">
      <c r="A502" s="9"/>
      <c r="B502" s="9"/>
      <c r="C502" s="1">
        <f>Tabela2[[#This Row],[Data
Pedido]]-Tabela2[[#This Row],[Data Última Aprovação RC]]</f>
        <v>0</v>
      </c>
      <c r="J502" s="1" t="str">
        <f t="shared" ca="1" si="17"/>
        <v/>
      </c>
      <c r="K502" s="11">
        <f>Tabela2[[#This Row],[SLA
Padrão]]-Tabela2[[#This Row],[SLA Atendimento]]</f>
        <v>0</v>
      </c>
      <c r="L502" s="11"/>
      <c r="O502" s="1" t="s">
        <v>30</v>
      </c>
      <c r="P502" s="2">
        <f>Tabela2[[#This Row],[Proposta
 Inicial]]-Tabela2[[#This Row],[Proposta
 Negociada]]</f>
        <v>0</v>
      </c>
      <c r="Q502" s="4" t="e">
        <f>Tabela2[[#This Row],[Proposta
 Negociada]]/Tabela2[[#This Row],[Proposta
 Inicial]]-1</f>
        <v>#DIV/0!</v>
      </c>
      <c r="S502"/>
    </row>
    <row r="503" spans="1:19" ht="15" customHeight="1">
      <c r="A503" s="9"/>
      <c r="B503" s="9"/>
      <c r="C503" s="1">
        <f>Tabela2[[#This Row],[Data
Pedido]]-Tabela2[[#This Row],[Data Última Aprovação RC]]</f>
        <v>0</v>
      </c>
      <c r="J503" s="1" t="str">
        <f t="shared" ca="1" si="17"/>
        <v/>
      </c>
      <c r="K503" s="11">
        <f>Tabela2[[#This Row],[SLA
Padrão]]-Tabela2[[#This Row],[SLA Atendimento]]</f>
        <v>0</v>
      </c>
      <c r="L503" s="11"/>
      <c r="O503" s="1" t="s">
        <v>30</v>
      </c>
      <c r="P503" s="2">
        <f>Tabela2[[#This Row],[Proposta
 Inicial]]-Tabela2[[#This Row],[Proposta
 Negociada]]</f>
        <v>0</v>
      </c>
      <c r="Q503" s="4" t="e">
        <f>Tabela2[[#This Row],[Proposta
 Negociada]]/Tabela2[[#This Row],[Proposta
 Inicial]]-1</f>
        <v>#DIV/0!</v>
      </c>
      <c r="S503"/>
    </row>
    <row r="504" spans="1:19" ht="15" customHeight="1">
      <c r="A504" s="9"/>
      <c r="B504" s="9"/>
      <c r="C504" s="1">
        <f>Tabela2[[#This Row],[Data
Pedido]]-Tabela2[[#This Row],[Data Última Aprovação RC]]</f>
        <v>0</v>
      </c>
      <c r="J504" s="1" t="str">
        <f t="shared" ca="1" si="17"/>
        <v/>
      </c>
      <c r="K504" s="11">
        <f>Tabela2[[#This Row],[SLA
Padrão]]-Tabela2[[#This Row],[SLA Atendimento]]</f>
        <v>0</v>
      </c>
      <c r="L504" s="11"/>
      <c r="O504" s="1" t="s">
        <v>30</v>
      </c>
      <c r="P504" s="2">
        <f>Tabela2[[#This Row],[Proposta
 Inicial]]-Tabela2[[#This Row],[Proposta
 Negociada]]</f>
        <v>0</v>
      </c>
      <c r="Q504" s="4" t="e">
        <f>Tabela2[[#This Row],[Proposta
 Negociada]]/Tabela2[[#This Row],[Proposta
 Inicial]]-1</f>
        <v>#DIV/0!</v>
      </c>
      <c r="S504"/>
    </row>
    <row r="505" spans="1:19" ht="15" customHeight="1">
      <c r="A505" s="9"/>
      <c r="B505" s="9"/>
      <c r="C505" s="1">
        <f>Tabela2[[#This Row],[Data
Pedido]]-Tabela2[[#This Row],[Data Última Aprovação RC]]</f>
        <v>0</v>
      </c>
      <c r="J505" s="1" t="str">
        <f t="shared" ca="1" si="17"/>
        <v/>
      </c>
      <c r="K505" s="11">
        <f>Tabela2[[#This Row],[SLA
Padrão]]-Tabela2[[#This Row],[SLA Atendimento]]</f>
        <v>0</v>
      </c>
      <c r="L505" s="11"/>
      <c r="O505" s="1" t="s">
        <v>30</v>
      </c>
      <c r="P505" s="2">
        <f>Tabela2[[#This Row],[Proposta
 Inicial]]-Tabela2[[#This Row],[Proposta
 Negociada]]</f>
        <v>0</v>
      </c>
      <c r="Q505" s="4" t="e">
        <f>Tabela2[[#This Row],[Proposta
 Negociada]]/Tabela2[[#This Row],[Proposta
 Inicial]]-1</f>
        <v>#DIV/0!</v>
      </c>
      <c r="S505"/>
    </row>
    <row r="506" spans="1:19" ht="15" customHeight="1">
      <c r="A506" s="9"/>
      <c r="B506" s="9"/>
      <c r="C506" s="1">
        <f>Tabela2[[#This Row],[Data
Pedido]]-Tabela2[[#This Row],[Data Última Aprovação RC]]</f>
        <v>0</v>
      </c>
      <c r="J506" s="1" t="str">
        <f t="shared" ca="1" si="17"/>
        <v/>
      </c>
      <c r="K506" s="11">
        <f>Tabela2[[#This Row],[SLA
Padrão]]-Tabela2[[#This Row],[SLA Atendimento]]</f>
        <v>0</v>
      </c>
      <c r="L506" s="11"/>
      <c r="O506" s="1" t="s">
        <v>30</v>
      </c>
      <c r="P506" s="2">
        <f>Tabela2[[#This Row],[Proposta
 Inicial]]-Tabela2[[#This Row],[Proposta
 Negociada]]</f>
        <v>0</v>
      </c>
      <c r="Q506" s="4" t="e">
        <f>Tabela2[[#This Row],[Proposta
 Negociada]]/Tabela2[[#This Row],[Proposta
 Inicial]]-1</f>
        <v>#DIV/0!</v>
      </c>
      <c r="S506"/>
    </row>
    <row r="507" spans="1:19" ht="15" customHeight="1">
      <c r="A507" s="9"/>
      <c r="B507" s="9"/>
      <c r="C507" s="1">
        <f>Tabela2[[#This Row],[Data
Pedido]]-Tabela2[[#This Row],[Data Última Aprovação RC]]</f>
        <v>0</v>
      </c>
      <c r="J507" s="1" t="str">
        <f t="shared" ca="1" si="17"/>
        <v/>
      </c>
      <c r="K507" s="11">
        <f>Tabela2[[#This Row],[SLA
Padrão]]-Tabela2[[#This Row],[SLA Atendimento]]</f>
        <v>0</v>
      </c>
      <c r="L507" s="11"/>
      <c r="O507" s="1" t="s">
        <v>30</v>
      </c>
      <c r="P507" s="2">
        <f>Tabela2[[#This Row],[Proposta
 Inicial]]-Tabela2[[#This Row],[Proposta
 Negociada]]</f>
        <v>0</v>
      </c>
      <c r="Q507" s="4" t="e">
        <f>Tabela2[[#This Row],[Proposta
 Negociada]]/Tabela2[[#This Row],[Proposta
 Inicial]]-1</f>
        <v>#DIV/0!</v>
      </c>
      <c r="S507"/>
    </row>
    <row r="508" spans="1:19" ht="15" customHeight="1">
      <c r="A508" s="9"/>
      <c r="B508" s="9"/>
      <c r="C508" s="1">
        <f>Tabela2[[#This Row],[Data
Pedido]]-Tabela2[[#This Row],[Data Última Aprovação RC]]</f>
        <v>0</v>
      </c>
      <c r="J508" s="1" t="str">
        <f t="shared" ca="1" si="17"/>
        <v/>
      </c>
      <c r="K508" s="11">
        <f>Tabela2[[#This Row],[SLA
Padrão]]-Tabela2[[#This Row],[SLA Atendimento]]</f>
        <v>0</v>
      </c>
      <c r="L508" s="11"/>
      <c r="O508" s="1" t="s">
        <v>30</v>
      </c>
      <c r="P508" s="2">
        <f>Tabela2[[#This Row],[Proposta
 Inicial]]-Tabela2[[#This Row],[Proposta
 Negociada]]</f>
        <v>0</v>
      </c>
      <c r="Q508" s="4" t="e">
        <f>Tabela2[[#This Row],[Proposta
 Negociada]]/Tabela2[[#This Row],[Proposta
 Inicial]]-1</f>
        <v>#DIV/0!</v>
      </c>
      <c r="S508"/>
    </row>
    <row r="509" spans="1:19" ht="15" customHeight="1">
      <c r="A509" s="9"/>
      <c r="B509" s="9"/>
      <c r="C509" s="1">
        <f>Tabela2[[#This Row],[Data
Pedido]]-Tabela2[[#This Row],[Data Última Aprovação RC]]</f>
        <v>0</v>
      </c>
      <c r="J509" s="1" t="str">
        <f t="shared" ca="1" si="17"/>
        <v/>
      </c>
      <c r="K509" s="11">
        <f>Tabela2[[#This Row],[SLA
Padrão]]-Tabela2[[#This Row],[SLA Atendimento]]</f>
        <v>0</v>
      </c>
      <c r="L509" s="11"/>
      <c r="O509" s="1" t="s">
        <v>30</v>
      </c>
      <c r="P509" s="2">
        <f>Tabela2[[#This Row],[Proposta
 Inicial]]-Tabela2[[#This Row],[Proposta
 Negociada]]</f>
        <v>0</v>
      </c>
      <c r="Q509" s="4" t="e">
        <f>Tabela2[[#This Row],[Proposta
 Negociada]]/Tabela2[[#This Row],[Proposta
 Inicial]]-1</f>
        <v>#DIV/0!</v>
      </c>
      <c r="S509"/>
    </row>
    <row r="510" spans="1:19" ht="15" customHeight="1">
      <c r="A510" s="9"/>
      <c r="B510" s="9"/>
      <c r="C510" s="1">
        <f>Tabela2[[#This Row],[Data
Pedido]]-Tabela2[[#This Row],[Data Última Aprovação RC]]</f>
        <v>0</v>
      </c>
      <c r="J510" s="1" t="str">
        <f t="shared" ca="1" si="17"/>
        <v/>
      </c>
      <c r="K510" s="11">
        <f>Tabela2[[#This Row],[SLA
Padrão]]-Tabela2[[#This Row],[SLA Atendimento]]</f>
        <v>0</v>
      </c>
      <c r="L510" s="11"/>
      <c r="O510" s="1" t="s">
        <v>30</v>
      </c>
      <c r="P510" s="2">
        <f>Tabela2[[#This Row],[Proposta
 Inicial]]-Tabela2[[#This Row],[Proposta
 Negociada]]</f>
        <v>0</v>
      </c>
      <c r="Q510" s="4" t="e">
        <f>Tabela2[[#This Row],[Proposta
 Negociada]]/Tabela2[[#This Row],[Proposta
 Inicial]]-1</f>
        <v>#DIV/0!</v>
      </c>
      <c r="S510"/>
    </row>
    <row r="511" spans="1:19" ht="15" customHeight="1">
      <c r="A511" s="9"/>
      <c r="B511" s="9"/>
      <c r="C511" s="1">
        <f>Tabela2[[#This Row],[Data
Pedido]]-Tabela2[[#This Row],[Data Última Aprovação RC]]</f>
        <v>0</v>
      </c>
      <c r="J511" s="1" t="str">
        <f t="shared" ca="1" si="17"/>
        <v/>
      </c>
      <c r="K511" s="11">
        <f>Tabela2[[#This Row],[SLA
Padrão]]-Tabela2[[#This Row],[SLA Atendimento]]</f>
        <v>0</v>
      </c>
      <c r="L511" s="11"/>
      <c r="O511" s="1" t="s">
        <v>30</v>
      </c>
      <c r="P511" s="2">
        <f>Tabela2[[#This Row],[Proposta
 Inicial]]-Tabela2[[#This Row],[Proposta
 Negociada]]</f>
        <v>0</v>
      </c>
      <c r="Q511" s="4" t="e">
        <f>Tabela2[[#This Row],[Proposta
 Negociada]]/Tabela2[[#This Row],[Proposta
 Inicial]]-1</f>
        <v>#DIV/0!</v>
      </c>
      <c r="S511"/>
    </row>
    <row r="512" spans="1:19" ht="15" customHeight="1">
      <c r="A512" s="9"/>
      <c r="B512" s="9"/>
      <c r="C512" s="1">
        <f>Tabela2[[#This Row],[Data
Pedido]]-Tabela2[[#This Row],[Data Última Aprovação RC]]</f>
        <v>0</v>
      </c>
      <c r="J512" s="1" t="str">
        <f t="shared" ca="1" si="17"/>
        <v/>
      </c>
      <c r="K512" s="11">
        <f>Tabela2[[#This Row],[SLA
Padrão]]-Tabela2[[#This Row],[SLA Atendimento]]</f>
        <v>0</v>
      </c>
      <c r="L512" s="11"/>
      <c r="O512" s="1" t="s">
        <v>30</v>
      </c>
      <c r="P512" s="2">
        <f>Tabela2[[#This Row],[Proposta
 Inicial]]-Tabela2[[#This Row],[Proposta
 Negociada]]</f>
        <v>0</v>
      </c>
      <c r="Q512" s="4" t="e">
        <f>Tabela2[[#This Row],[Proposta
 Negociada]]/Tabela2[[#This Row],[Proposta
 Inicial]]-1</f>
        <v>#DIV/0!</v>
      </c>
      <c r="S512"/>
    </row>
    <row r="513" spans="1:19" ht="15" customHeight="1">
      <c r="A513" s="9"/>
      <c r="B513" s="9"/>
      <c r="C513" s="1">
        <f>Tabela2[[#This Row],[Data
Pedido]]-Tabela2[[#This Row],[Data Última Aprovação RC]]</f>
        <v>0</v>
      </c>
      <c r="J513" s="1" t="str">
        <f t="shared" ca="1" si="17"/>
        <v/>
      </c>
      <c r="K513" s="11">
        <f>Tabela2[[#This Row],[SLA
Padrão]]-Tabela2[[#This Row],[SLA Atendimento]]</f>
        <v>0</v>
      </c>
      <c r="L513" s="11"/>
      <c r="O513" s="1" t="s">
        <v>30</v>
      </c>
      <c r="P513" s="2">
        <f>Tabela2[[#This Row],[Proposta
 Inicial]]-Tabela2[[#This Row],[Proposta
 Negociada]]</f>
        <v>0</v>
      </c>
      <c r="Q513" s="4" t="e">
        <f>Tabela2[[#This Row],[Proposta
 Negociada]]/Tabela2[[#This Row],[Proposta
 Inicial]]-1</f>
        <v>#DIV/0!</v>
      </c>
      <c r="S513"/>
    </row>
    <row r="514" spans="1:19" ht="15" customHeight="1">
      <c r="A514" s="9"/>
      <c r="B514" s="9"/>
      <c r="C514" s="1">
        <f>Tabela2[[#This Row],[Data
Pedido]]-Tabela2[[#This Row],[Data Última Aprovação RC]]</f>
        <v>0</v>
      </c>
      <c r="J514" s="1" t="str">
        <f t="shared" ca="1" si="17"/>
        <v/>
      </c>
      <c r="K514" s="11">
        <f>Tabela2[[#This Row],[SLA
Padrão]]-Tabela2[[#This Row],[SLA Atendimento]]</f>
        <v>0</v>
      </c>
      <c r="L514" s="11"/>
      <c r="O514" s="1" t="s">
        <v>30</v>
      </c>
      <c r="P514" s="2">
        <f>Tabela2[[#This Row],[Proposta
 Inicial]]-Tabela2[[#This Row],[Proposta
 Negociada]]</f>
        <v>0</v>
      </c>
      <c r="Q514" s="4" t="e">
        <f>Tabela2[[#This Row],[Proposta
 Negociada]]/Tabela2[[#This Row],[Proposta
 Inicial]]-1</f>
        <v>#DIV/0!</v>
      </c>
      <c r="S514"/>
    </row>
    <row r="515" spans="1:19" ht="15" customHeight="1">
      <c r="A515" s="9"/>
      <c r="B515" s="9"/>
      <c r="C515" s="1">
        <f>Tabela2[[#This Row],[Data
Pedido]]-Tabela2[[#This Row],[Data Última Aprovação RC]]</f>
        <v>0</v>
      </c>
      <c r="J515" s="1" t="str">
        <f t="shared" ca="1" si="17"/>
        <v/>
      </c>
      <c r="K515" s="11">
        <f>Tabela2[[#This Row],[SLA
Padrão]]-Tabela2[[#This Row],[SLA Atendimento]]</f>
        <v>0</v>
      </c>
      <c r="L515" s="11"/>
      <c r="O515" s="1" t="s">
        <v>30</v>
      </c>
      <c r="P515" s="2">
        <f>Tabela2[[#This Row],[Proposta
 Inicial]]-Tabela2[[#This Row],[Proposta
 Negociada]]</f>
        <v>0</v>
      </c>
      <c r="Q515" s="4" t="e">
        <f>Tabela2[[#This Row],[Proposta
 Negociada]]/Tabela2[[#This Row],[Proposta
 Inicial]]-1</f>
        <v>#DIV/0!</v>
      </c>
      <c r="S515"/>
    </row>
    <row r="516" spans="1:19" ht="15" customHeight="1">
      <c r="A516" s="9"/>
      <c r="B516" s="9"/>
      <c r="C516" s="1">
        <f>Tabela2[[#This Row],[Data
Pedido]]-Tabela2[[#This Row],[Data Última Aprovação RC]]</f>
        <v>0</v>
      </c>
      <c r="J516" s="1" t="str">
        <f t="shared" ca="1" si="17"/>
        <v/>
      </c>
      <c r="K516" s="11">
        <f>Tabela2[[#This Row],[SLA
Padrão]]-Tabela2[[#This Row],[SLA Atendimento]]</f>
        <v>0</v>
      </c>
      <c r="L516" s="11"/>
      <c r="O516" s="1" t="s">
        <v>30</v>
      </c>
      <c r="P516" s="2">
        <f>Tabela2[[#This Row],[Proposta
 Inicial]]-Tabela2[[#This Row],[Proposta
 Negociada]]</f>
        <v>0</v>
      </c>
      <c r="Q516" s="4" t="e">
        <f>Tabela2[[#This Row],[Proposta
 Negociada]]/Tabela2[[#This Row],[Proposta
 Inicial]]-1</f>
        <v>#DIV/0!</v>
      </c>
      <c r="S516"/>
    </row>
    <row r="517" spans="1:19" ht="15" customHeight="1">
      <c r="A517" s="9"/>
      <c r="B517" s="9"/>
      <c r="C517" s="1">
        <f>Tabela2[[#This Row],[Data
Pedido]]-Tabela2[[#This Row],[Data Última Aprovação RC]]</f>
        <v>0</v>
      </c>
      <c r="J517" s="1" t="str">
        <f t="shared" ca="1" si="17"/>
        <v/>
      </c>
      <c r="K517" s="11">
        <f>Tabela2[[#This Row],[SLA
Padrão]]-Tabela2[[#This Row],[SLA Atendimento]]</f>
        <v>0</v>
      </c>
      <c r="L517" s="11"/>
      <c r="O517" s="1" t="s">
        <v>30</v>
      </c>
      <c r="P517" s="2">
        <f>Tabela2[[#This Row],[Proposta
 Inicial]]-Tabela2[[#This Row],[Proposta
 Negociada]]</f>
        <v>0</v>
      </c>
      <c r="Q517" s="4" t="e">
        <f>Tabela2[[#This Row],[Proposta
 Negociada]]/Tabela2[[#This Row],[Proposta
 Inicial]]-1</f>
        <v>#DIV/0!</v>
      </c>
      <c r="S517"/>
    </row>
    <row r="518" spans="1:19" ht="15" customHeight="1">
      <c r="A518" s="9"/>
      <c r="B518" s="9"/>
      <c r="C518" s="1">
        <f>Tabela2[[#This Row],[Data
Pedido]]-Tabela2[[#This Row],[Data Última Aprovação RC]]</f>
        <v>0</v>
      </c>
      <c r="J518" s="1" t="str">
        <f t="shared" ca="1" si="17"/>
        <v/>
      </c>
      <c r="K518" s="11">
        <f>Tabela2[[#This Row],[SLA
Padrão]]-Tabela2[[#This Row],[SLA Atendimento]]</f>
        <v>0</v>
      </c>
      <c r="L518" s="11"/>
      <c r="O518" s="1" t="s">
        <v>30</v>
      </c>
      <c r="P518" s="2">
        <f>Tabela2[[#This Row],[Proposta
 Inicial]]-Tabela2[[#This Row],[Proposta
 Negociada]]</f>
        <v>0</v>
      </c>
      <c r="Q518" s="4" t="e">
        <f>Tabela2[[#This Row],[Proposta
 Negociada]]/Tabela2[[#This Row],[Proposta
 Inicial]]-1</f>
        <v>#DIV/0!</v>
      </c>
      <c r="S518"/>
    </row>
    <row r="519" spans="1:19" ht="15" customHeight="1">
      <c r="A519" s="9"/>
      <c r="B519" s="9"/>
      <c r="C519" s="1">
        <f>Tabela2[[#This Row],[Data
Pedido]]-Tabela2[[#This Row],[Data Última Aprovação RC]]</f>
        <v>0</v>
      </c>
      <c r="J519" s="1" t="str">
        <f t="shared" ca="1" si="17"/>
        <v/>
      </c>
      <c r="K519" s="11">
        <f>Tabela2[[#This Row],[SLA
Padrão]]-Tabela2[[#This Row],[SLA Atendimento]]</f>
        <v>0</v>
      </c>
      <c r="L519" s="11"/>
      <c r="O519" s="1" t="s">
        <v>30</v>
      </c>
      <c r="P519" s="2">
        <f>Tabela2[[#This Row],[Proposta
 Inicial]]-Tabela2[[#This Row],[Proposta
 Negociada]]</f>
        <v>0</v>
      </c>
      <c r="Q519" s="4" t="e">
        <f>Tabela2[[#This Row],[Proposta
 Negociada]]/Tabela2[[#This Row],[Proposta
 Inicial]]-1</f>
        <v>#DIV/0!</v>
      </c>
      <c r="S519"/>
    </row>
    <row r="520" spans="1:19" ht="15" customHeight="1">
      <c r="A520" s="9"/>
      <c r="B520" s="9"/>
      <c r="C520" s="1">
        <f>Tabela2[[#This Row],[Data
Pedido]]-Tabela2[[#This Row],[Data Última Aprovação RC]]</f>
        <v>0</v>
      </c>
      <c r="J520" s="1" t="str">
        <f t="shared" ca="1" si="17"/>
        <v/>
      </c>
      <c r="K520" s="11">
        <f>Tabela2[[#This Row],[SLA
Padrão]]-Tabela2[[#This Row],[SLA Atendimento]]</f>
        <v>0</v>
      </c>
      <c r="L520" s="11"/>
      <c r="O520" s="1" t="s">
        <v>30</v>
      </c>
      <c r="P520" s="2">
        <f>Tabela2[[#This Row],[Proposta
 Inicial]]-Tabela2[[#This Row],[Proposta
 Negociada]]</f>
        <v>0</v>
      </c>
      <c r="Q520" s="4" t="e">
        <f>Tabela2[[#This Row],[Proposta
 Negociada]]/Tabela2[[#This Row],[Proposta
 Inicial]]-1</f>
        <v>#DIV/0!</v>
      </c>
      <c r="S520"/>
    </row>
    <row r="521" spans="1:19" ht="15" customHeight="1">
      <c r="A521" s="9"/>
      <c r="B521" s="9"/>
      <c r="C521" s="1">
        <f>Tabela2[[#This Row],[Data
Pedido]]-Tabela2[[#This Row],[Data Última Aprovação RC]]</f>
        <v>0</v>
      </c>
      <c r="J521" s="1" t="str">
        <f t="shared" ca="1" si="17"/>
        <v/>
      </c>
      <c r="K521" s="11">
        <f>Tabela2[[#This Row],[SLA
Padrão]]-Tabela2[[#This Row],[SLA Atendimento]]</f>
        <v>0</v>
      </c>
      <c r="L521" s="11"/>
      <c r="O521" s="1" t="s">
        <v>30</v>
      </c>
      <c r="P521" s="2">
        <f>Tabela2[[#This Row],[Proposta
 Inicial]]-Tabela2[[#This Row],[Proposta
 Negociada]]</f>
        <v>0</v>
      </c>
      <c r="Q521" s="4" t="e">
        <f>Tabela2[[#This Row],[Proposta
 Negociada]]/Tabela2[[#This Row],[Proposta
 Inicial]]-1</f>
        <v>#DIV/0!</v>
      </c>
      <c r="S521"/>
    </row>
    <row r="522" spans="1:19" ht="15" customHeight="1">
      <c r="A522" s="9"/>
      <c r="B522" s="9"/>
      <c r="C522" s="1">
        <f>Tabela2[[#This Row],[Data
Pedido]]-Tabela2[[#This Row],[Data Última Aprovação RC]]</f>
        <v>0</v>
      </c>
      <c r="J522" s="1" t="str">
        <f t="shared" ca="1" si="17"/>
        <v/>
      </c>
      <c r="K522" s="11">
        <f>Tabela2[[#This Row],[SLA
Padrão]]-Tabela2[[#This Row],[SLA Atendimento]]</f>
        <v>0</v>
      </c>
      <c r="L522" s="11"/>
      <c r="O522" s="1" t="s">
        <v>30</v>
      </c>
      <c r="P522" s="2">
        <f>Tabela2[[#This Row],[Proposta
 Inicial]]-Tabela2[[#This Row],[Proposta
 Negociada]]</f>
        <v>0</v>
      </c>
      <c r="Q522" s="4" t="e">
        <f>Tabela2[[#This Row],[Proposta
 Negociada]]/Tabela2[[#This Row],[Proposta
 Inicial]]-1</f>
        <v>#DIV/0!</v>
      </c>
      <c r="S522"/>
    </row>
    <row r="523" spans="1:19" ht="15" customHeight="1">
      <c r="A523" s="9"/>
      <c r="B523" s="9"/>
      <c r="C523" s="1">
        <f>Tabela2[[#This Row],[Data
Pedido]]-Tabela2[[#This Row],[Data Última Aprovação RC]]</f>
        <v>0</v>
      </c>
      <c r="J523" s="1" t="str">
        <f t="shared" ca="1" si="17"/>
        <v/>
      </c>
      <c r="K523" s="11">
        <f>Tabela2[[#This Row],[SLA
Padrão]]-Tabela2[[#This Row],[SLA Atendimento]]</f>
        <v>0</v>
      </c>
      <c r="L523" s="11"/>
      <c r="O523" s="1" t="s">
        <v>30</v>
      </c>
      <c r="P523" s="2">
        <f>Tabela2[[#This Row],[Proposta
 Inicial]]-Tabela2[[#This Row],[Proposta
 Negociada]]</f>
        <v>0</v>
      </c>
      <c r="Q523" s="4" t="e">
        <f>Tabela2[[#This Row],[Proposta
 Negociada]]/Tabela2[[#This Row],[Proposta
 Inicial]]-1</f>
        <v>#DIV/0!</v>
      </c>
      <c r="S523"/>
    </row>
    <row r="524" spans="1:19" ht="15" customHeight="1">
      <c r="A524" s="9"/>
      <c r="B524" s="9"/>
      <c r="C524" s="1">
        <f>Tabela2[[#This Row],[Data
Pedido]]-Tabela2[[#This Row],[Data Última Aprovação RC]]</f>
        <v>0</v>
      </c>
      <c r="J524" s="1" t="str">
        <f t="shared" ca="1" si="17"/>
        <v/>
      </c>
      <c r="K524" s="11">
        <f>Tabela2[[#This Row],[SLA
Padrão]]-Tabela2[[#This Row],[SLA Atendimento]]</f>
        <v>0</v>
      </c>
      <c r="L524" s="11"/>
      <c r="O524" s="1" t="s">
        <v>30</v>
      </c>
      <c r="P524" s="2">
        <f>Tabela2[[#This Row],[Proposta
 Inicial]]-Tabela2[[#This Row],[Proposta
 Negociada]]</f>
        <v>0</v>
      </c>
      <c r="Q524" s="4" t="e">
        <f>Tabela2[[#This Row],[Proposta
 Negociada]]/Tabela2[[#This Row],[Proposta
 Inicial]]-1</f>
        <v>#DIV/0!</v>
      </c>
      <c r="S524"/>
    </row>
    <row r="525" spans="1:19" ht="15" customHeight="1">
      <c r="A525" s="9"/>
      <c r="B525" s="9"/>
      <c r="C525" s="1">
        <f>Tabela2[[#This Row],[Data
Pedido]]-Tabela2[[#This Row],[Data Última Aprovação RC]]</f>
        <v>0</v>
      </c>
      <c r="J525" s="1" t="str">
        <f t="shared" ca="1" si="17"/>
        <v/>
      </c>
      <c r="K525" s="11">
        <f>Tabela2[[#This Row],[SLA
Padrão]]-Tabela2[[#This Row],[SLA Atendimento]]</f>
        <v>0</v>
      </c>
      <c r="L525" s="11"/>
      <c r="O525" s="1" t="s">
        <v>30</v>
      </c>
      <c r="P525" s="2">
        <f>Tabela2[[#This Row],[Proposta
 Inicial]]-Tabela2[[#This Row],[Proposta
 Negociada]]</f>
        <v>0</v>
      </c>
      <c r="Q525" s="4" t="e">
        <f>Tabela2[[#This Row],[Proposta
 Negociada]]/Tabela2[[#This Row],[Proposta
 Inicial]]-1</f>
        <v>#DIV/0!</v>
      </c>
      <c r="S525"/>
    </row>
    <row r="526" spans="1:19" ht="15" customHeight="1">
      <c r="A526" s="9"/>
      <c r="B526" s="9"/>
      <c r="C526" s="1">
        <f>Tabela2[[#This Row],[Data
Pedido]]-Tabela2[[#This Row],[Data Última Aprovação RC]]</f>
        <v>0</v>
      </c>
      <c r="J526" s="1" t="str">
        <f t="shared" ca="1" si="17"/>
        <v/>
      </c>
      <c r="K526" s="11">
        <f>Tabela2[[#This Row],[SLA
Padrão]]-Tabela2[[#This Row],[SLA Atendimento]]</f>
        <v>0</v>
      </c>
      <c r="L526" s="11"/>
      <c r="O526" s="1" t="s">
        <v>30</v>
      </c>
      <c r="P526" s="2">
        <f>Tabela2[[#This Row],[Proposta
 Inicial]]-Tabela2[[#This Row],[Proposta
 Negociada]]</f>
        <v>0</v>
      </c>
      <c r="Q526" s="4" t="e">
        <f>Tabela2[[#This Row],[Proposta
 Negociada]]/Tabela2[[#This Row],[Proposta
 Inicial]]-1</f>
        <v>#DIV/0!</v>
      </c>
      <c r="S526"/>
    </row>
    <row r="527" spans="1:19" ht="15" customHeight="1">
      <c r="A527" s="9"/>
      <c r="B527" s="9"/>
      <c r="C527" s="1">
        <f>Tabela2[[#This Row],[Data
Pedido]]-Tabela2[[#This Row],[Data Última Aprovação RC]]</f>
        <v>0</v>
      </c>
      <c r="J527" s="1" t="str">
        <f t="shared" ca="1" si="17"/>
        <v/>
      </c>
      <c r="K527" s="11">
        <f>Tabela2[[#This Row],[SLA
Padrão]]-Tabela2[[#This Row],[SLA Atendimento]]</f>
        <v>0</v>
      </c>
      <c r="L527" s="11"/>
      <c r="O527" s="1" t="s">
        <v>30</v>
      </c>
      <c r="P527" s="2">
        <f>Tabela2[[#This Row],[Proposta
 Inicial]]-Tabela2[[#This Row],[Proposta
 Negociada]]</f>
        <v>0</v>
      </c>
      <c r="Q527" s="4" t="e">
        <f>Tabela2[[#This Row],[Proposta
 Negociada]]/Tabela2[[#This Row],[Proposta
 Inicial]]-1</f>
        <v>#DIV/0!</v>
      </c>
      <c r="S527"/>
    </row>
    <row r="528" spans="1:19" ht="15" customHeight="1">
      <c r="A528" s="9"/>
      <c r="B528" s="9"/>
      <c r="C528" s="1">
        <f>Tabela2[[#This Row],[Data
Pedido]]-Tabela2[[#This Row],[Data Última Aprovação RC]]</f>
        <v>0</v>
      </c>
      <c r="J528" s="1" t="str">
        <f t="shared" ca="1" si="17"/>
        <v/>
      </c>
      <c r="K528" s="11">
        <f>Tabela2[[#This Row],[SLA
Padrão]]-Tabela2[[#This Row],[SLA Atendimento]]</f>
        <v>0</v>
      </c>
      <c r="L528" s="11"/>
      <c r="O528" s="1" t="s">
        <v>30</v>
      </c>
      <c r="P528" s="2">
        <f>Tabela2[[#This Row],[Proposta
 Inicial]]-Tabela2[[#This Row],[Proposta
 Negociada]]</f>
        <v>0</v>
      </c>
      <c r="Q528" s="4" t="e">
        <f>Tabela2[[#This Row],[Proposta
 Negociada]]/Tabela2[[#This Row],[Proposta
 Inicial]]-1</f>
        <v>#DIV/0!</v>
      </c>
      <c r="S528"/>
    </row>
    <row r="529" spans="1:19" ht="15" customHeight="1">
      <c r="A529" s="9"/>
      <c r="B529" s="9"/>
      <c r="C529" s="1">
        <f>Tabela2[[#This Row],[Data
Pedido]]-Tabela2[[#This Row],[Data Última Aprovação RC]]</f>
        <v>0</v>
      </c>
      <c r="J529" s="1" t="str">
        <f t="shared" ca="1" si="17"/>
        <v/>
      </c>
      <c r="K529" s="11">
        <f>Tabela2[[#This Row],[SLA
Padrão]]-Tabela2[[#This Row],[SLA Atendimento]]</f>
        <v>0</v>
      </c>
      <c r="L529" s="11"/>
      <c r="O529" s="1" t="s">
        <v>30</v>
      </c>
      <c r="P529" s="2">
        <f>Tabela2[[#This Row],[Proposta
 Inicial]]-Tabela2[[#This Row],[Proposta
 Negociada]]</f>
        <v>0</v>
      </c>
      <c r="Q529" s="4" t="e">
        <f>Tabela2[[#This Row],[Proposta
 Negociada]]/Tabela2[[#This Row],[Proposta
 Inicial]]-1</f>
        <v>#DIV/0!</v>
      </c>
      <c r="S529"/>
    </row>
    <row r="530" spans="1:19" ht="15" customHeight="1">
      <c r="A530" s="9"/>
      <c r="B530" s="9"/>
      <c r="C530" s="1">
        <f>Tabela2[[#This Row],[Data
Pedido]]-Tabela2[[#This Row],[Data Última Aprovação RC]]</f>
        <v>0</v>
      </c>
      <c r="J530" s="1" t="str">
        <f t="shared" ca="1" si="17"/>
        <v/>
      </c>
      <c r="K530" s="11">
        <f>Tabela2[[#This Row],[SLA
Padrão]]-Tabela2[[#This Row],[SLA Atendimento]]</f>
        <v>0</v>
      </c>
      <c r="L530" s="11"/>
      <c r="O530" s="1" t="s">
        <v>30</v>
      </c>
      <c r="P530" s="2">
        <f>Tabela2[[#This Row],[Proposta
 Inicial]]-Tabela2[[#This Row],[Proposta
 Negociada]]</f>
        <v>0</v>
      </c>
      <c r="Q530" s="4" t="e">
        <f>Tabela2[[#This Row],[Proposta
 Negociada]]/Tabela2[[#This Row],[Proposta
 Inicial]]-1</f>
        <v>#DIV/0!</v>
      </c>
      <c r="S530"/>
    </row>
    <row r="531" spans="1:19" ht="15" customHeight="1">
      <c r="A531" s="9"/>
      <c r="B531" s="9"/>
      <c r="C531" s="1">
        <f>Tabela2[[#This Row],[Data
Pedido]]-Tabela2[[#This Row],[Data Última Aprovação RC]]</f>
        <v>0</v>
      </c>
      <c r="J531" s="1" t="str">
        <f t="shared" ca="1" si="17"/>
        <v/>
      </c>
      <c r="K531" s="11">
        <f>Tabela2[[#This Row],[SLA
Padrão]]-Tabela2[[#This Row],[SLA Atendimento]]</f>
        <v>0</v>
      </c>
      <c r="L531" s="11"/>
      <c r="O531" s="1" t="s">
        <v>30</v>
      </c>
      <c r="P531" s="2">
        <f>Tabela2[[#This Row],[Proposta
 Inicial]]-Tabela2[[#This Row],[Proposta
 Negociada]]</f>
        <v>0</v>
      </c>
      <c r="Q531" s="4" t="e">
        <f>Tabela2[[#This Row],[Proposta
 Negociada]]/Tabela2[[#This Row],[Proposta
 Inicial]]-1</f>
        <v>#DIV/0!</v>
      </c>
      <c r="S531"/>
    </row>
    <row r="532" spans="1:19" ht="15" customHeight="1">
      <c r="A532" s="9"/>
      <c r="B532" s="9"/>
      <c r="C532" s="1">
        <f>Tabela2[[#This Row],[Data
Pedido]]-Tabela2[[#This Row],[Data Última Aprovação RC]]</f>
        <v>0</v>
      </c>
      <c r="J532" s="1" t="str">
        <f t="shared" ca="1" si="17"/>
        <v/>
      </c>
      <c r="K532" s="11">
        <f>Tabela2[[#This Row],[SLA
Padrão]]-Tabela2[[#This Row],[SLA Atendimento]]</f>
        <v>0</v>
      </c>
      <c r="L532" s="11"/>
      <c r="O532" s="1" t="s">
        <v>30</v>
      </c>
      <c r="P532" s="2">
        <f>Tabela2[[#This Row],[Proposta
 Inicial]]-Tabela2[[#This Row],[Proposta
 Negociada]]</f>
        <v>0</v>
      </c>
      <c r="Q532" s="4" t="e">
        <f>Tabela2[[#This Row],[Proposta
 Negociada]]/Tabela2[[#This Row],[Proposta
 Inicial]]-1</f>
        <v>#DIV/0!</v>
      </c>
      <c r="S532"/>
    </row>
    <row r="533" spans="1:19" ht="15" customHeight="1">
      <c r="A533" s="9"/>
      <c r="B533" s="9"/>
      <c r="C533" s="1">
        <f>Tabela2[[#This Row],[Data
Pedido]]-Tabela2[[#This Row],[Data Última Aprovação RC]]</f>
        <v>0</v>
      </c>
      <c r="J533" s="1" t="str">
        <f t="shared" ca="1" si="17"/>
        <v/>
      </c>
      <c r="K533" s="11">
        <f>Tabela2[[#This Row],[SLA
Padrão]]-Tabela2[[#This Row],[SLA Atendimento]]</f>
        <v>0</v>
      </c>
      <c r="L533" s="11"/>
      <c r="O533" s="1" t="s">
        <v>30</v>
      </c>
      <c r="P533" s="2">
        <f>Tabela2[[#This Row],[Proposta
 Inicial]]-Tabela2[[#This Row],[Proposta
 Negociada]]</f>
        <v>0</v>
      </c>
      <c r="Q533" s="4" t="e">
        <f>Tabela2[[#This Row],[Proposta
 Negociada]]/Tabela2[[#This Row],[Proposta
 Inicial]]-1</f>
        <v>#DIV/0!</v>
      </c>
      <c r="S533"/>
    </row>
    <row r="534" spans="1:19" ht="15" customHeight="1">
      <c r="A534" s="9"/>
      <c r="B534" s="9"/>
      <c r="C534" s="1">
        <f>Tabela2[[#This Row],[Data
Pedido]]-Tabela2[[#This Row],[Data Última Aprovação RC]]</f>
        <v>0</v>
      </c>
      <c r="J534" s="1" t="str">
        <f t="shared" ca="1" si="17"/>
        <v/>
      </c>
      <c r="K534" s="11">
        <f>Tabela2[[#This Row],[SLA
Padrão]]-Tabela2[[#This Row],[SLA Atendimento]]</f>
        <v>0</v>
      </c>
      <c r="L534" s="11"/>
      <c r="O534" s="1" t="s">
        <v>30</v>
      </c>
      <c r="P534" s="2">
        <f>Tabela2[[#This Row],[Proposta
 Inicial]]-Tabela2[[#This Row],[Proposta
 Negociada]]</f>
        <v>0</v>
      </c>
      <c r="Q534" s="4" t="e">
        <f>Tabela2[[#This Row],[Proposta
 Negociada]]/Tabela2[[#This Row],[Proposta
 Inicial]]-1</f>
        <v>#DIV/0!</v>
      </c>
      <c r="S534"/>
    </row>
    <row r="535" spans="1:19" ht="15" customHeight="1">
      <c r="A535" s="9"/>
      <c r="B535" s="9"/>
      <c r="C535" s="1">
        <f>Tabela2[[#This Row],[Data
Pedido]]-Tabela2[[#This Row],[Data Última Aprovação RC]]</f>
        <v>0</v>
      </c>
      <c r="J535" s="1" t="str">
        <f t="shared" ca="1" si="17"/>
        <v/>
      </c>
      <c r="K535" s="11">
        <f>Tabela2[[#This Row],[SLA
Padrão]]-Tabela2[[#This Row],[SLA Atendimento]]</f>
        <v>0</v>
      </c>
      <c r="L535" s="11"/>
      <c r="O535" s="1" t="s">
        <v>30</v>
      </c>
      <c r="P535" s="2">
        <f>Tabela2[[#This Row],[Proposta
 Inicial]]-Tabela2[[#This Row],[Proposta
 Negociada]]</f>
        <v>0</v>
      </c>
      <c r="Q535" s="4" t="e">
        <f>Tabela2[[#This Row],[Proposta
 Negociada]]/Tabela2[[#This Row],[Proposta
 Inicial]]-1</f>
        <v>#DIV/0!</v>
      </c>
      <c r="S535"/>
    </row>
    <row r="536" spans="1:19" ht="15" customHeight="1">
      <c r="A536" s="9"/>
      <c r="B536" s="9"/>
      <c r="C536" s="1">
        <f>Tabela2[[#This Row],[Data
Pedido]]-Tabela2[[#This Row],[Data Última Aprovação RC]]</f>
        <v>0</v>
      </c>
      <c r="J536" s="1" t="str">
        <f t="shared" ca="1" si="17"/>
        <v/>
      </c>
      <c r="K536" s="11">
        <f>Tabela2[[#This Row],[SLA
Padrão]]-Tabela2[[#This Row],[SLA Atendimento]]</f>
        <v>0</v>
      </c>
      <c r="L536" s="11"/>
      <c r="O536" s="1" t="s">
        <v>30</v>
      </c>
      <c r="P536" s="2">
        <f>Tabela2[[#This Row],[Proposta
 Inicial]]-Tabela2[[#This Row],[Proposta
 Negociada]]</f>
        <v>0</v>
      </c>
      <c r="Q536" s="4" t="e">
        <f>Tabela2[[#This Row],[Proposta
 Negociada]]/Tabela2[[#This Row],[Proposta
 Inicial]]-1</f>
        <v>#DIV/0!</v>
      </c>
      <c r="S536"/>
    </row>
    <row r="537" spans="1:19" ht="15" customHeight="1">
      <c r="A537" s="9"/>
      <c r="B537" s="9"/>
      <c r="C537" s="1">
        <f>Tabela2[[#This Row],[Data
Pedido]]-Tabela2[[#This Row],[Data Última Aprovação RC]]</f>
        <v>0</v>
      </c>
      <c r="J537" s="1" t="str">
        <f t="shared" ca="1" si="17"/>
        <v/>
      </c>
      <c r="K537" s="11">
        <f>Tabela2[[#This Row],[SLA
Padrão]]-Tabela2[[#This Row],[SLA Atendimento]]</f>
        <v>0</v>
      </c>
      <c r="L537" s="11"/>
      <c r="O537" s="1" t="s">
        <v>30</v>
      </c>
      <c r="P537" s="2">
        <f>Tabela2[[#This Row],[Proposta
 Inicial]]-Tabela2[[#This Row],[Proposta
 Negociada]]</f>
        <v>0</v>
      </c>
      <c r="Q537" s="4" t="e">
        <f>Tabela2[[#This Row],[Proposta
 Negociada]]/Tabela2[[#This Row],[Proposta
 Inicial]]-1</f>
        <v>#DIV/0!</v>
      </c>
      <c r="S537"/>
    </row>
    <row r="538" spans="1:19" ht="15" customHeight="1">
      <c r="A538" s="9"/>
      <c r="B538" s="9"/>
      <c r="C538" s="1">
        <f>Tabela2[[#This Row],[Data
Pedido]]-Tabela2[[#This Row],[Data Última Aprovação RC]]</f>
        <v>0</v>
      </c>
      <c r="J538" s="1" t="str">
        <f t="shared" ca="1" si="17"/>
        <v/>
      </c>
      <c r="K538" s="11">
        <f>Tabela2[[#This Row],[SLA
Padrão]]-Tabela2[[#This Row],[SLA Atendimento]]</f>
        <v>0</v>
      </c>
      <c r="L538" s="11"/>
      <c r="O538" s="1" t="s">
        <v>30</v>
      </c>
      <c r="P538" s="2">
        <f>Tabela2[[#This Row],[Proposta
 Inicial]]-Tabela2[[#This Row],[Proposta
 Negociada]]</f>
        <v>0</v>
      </c>
      <c r="Q538" s="4" t="e">
        <f>Tabela2[[#This Row],[Proposta
 Negociada]]/Tabela2[[#This Row],[Proposta
 Inicial]]-1</f>
        <v>#DIV/0!</v>
      </c>
      <c r="S538"/>
    </row>
    <row r="539" spans="1:19" ht="15" customHeight="1">
      <c r="A539" s="9"/>
      <c r="B539" s="9"/>
      <c r="C539" s="1">
        <f>Tabela2[[#This Row],[Data
Pedido]]-Tabela2[[#This Row],[Data Última Aprovação RC]]</f>
        <v>0</v>
      </c>
      <c r="J539" s="1" t="str">
        <f t="shared" ca="1" si="17"/>
        <v/>
      </c>
      <c r="K539" s="11">
        <f>Tabela2[[#This Row],[SLA
Padrão]]-Tabela2[[#This Row],[SLA Atendimento]]</f>
        <v>0</v>
      </c>
      <c r="L539" s="11"/>
      <c r="O539" s="1" t="s">
        <v>30</v>
      </c>
      <c r="P539" s="2">
        <f>Tabela2[[#This Row],[Proposta
 Inicial]]-Tabela2[[#This Row],[Proposta
 Negociada]]</f>
        <v>0</v>
      </c>
      <c r="Q539" s="4" t="e">
        <f>Tabela2[[#This Row],[Proposta
 Negociada]]/Tabela2[[#This Row],[Proposta
 Inicial]]-1</f>
        <v>#DIV/0!</v>
      </c>
      <c r="S539"/>
    </row>
    <row r="540" spans="1:19" ht="15" customHeight="1">
      <c r="A540" s="9"/>
      <c r="B540" s="9"/>
      <c r="C540" s="1">
        <f>Tabela2[[#This Row],[Data
Pedido]]-Tabela2[[#This Row],[Data Última Aprovação RC]]</f>
        <v>0</v>
      </c>
      <c r="J540" s="1" t="str">
        <f t="shared" ca="1" si="17"/>
        <v/>
      </c>
      <c r="K540" s="11">
        <f>Tabela2[[#This Row],[SLA
Padrão]]-Tabela2[[#This Row],[SLA Atendimento]]</f>
        <v>0</v>
      </c>
      <c r="L540" s="11"/>
      <c r="O540" s="1" t="s">
        <v>30</v>
      </c>
      <c r="P540" s="2">
        <f>Tabela2[[#This Row],[Proposta
 Inicial]]-Tabela2[[#This Row],[Proposta
 Negociada]]</f>
        <v>0</v>
      </c>
      <c r="Q540" s="4" t="e">
        <f>Tabela2[[#This Row],[Proposta
 Negociada]]/Tabela2[[#This Row],[Proposta
 Inicial]]-1</f>
        <v>#DIV/0!</v>
      </c>
      <c r="S540"/>
    </row>
    <row r="541" spans="1:19" ht="15" customHeight="1">
      <c r="A541" s="9"/>
      <c r="B541" s="9"/>
      <c r="C541" s="1">
        <f>Tabela2[[#This Row],[Data
Pedido]]-Tabela2[[#This Row],[Data Última Aprovação RC]]</f>
        <v>0</v>
      </c>
      <c r="J541" s="1" t="str">
        <f t="shared" ca="1" si="17"/>
        <v/>
      </c>
      <c r="K541" s="11">
        <f>Tabela2[[#This Row],[SLA
Padrão]]-Tabela2[[#This Row],[SLA Atendimento]]</f>
        <v>0</v>
      </c>
      <c r="L541" s="11"/>
      <c r="O541" s="1" t="s">
        <v>30</v>
      </c>
      <c r="P541" s="2">
        <f>Tabela2[[#This Row],[Proposta
 Inicial]]-Tabela2[[#This Row],[Proposta
 Negociada]]</f>
        <v>0</v>
      </c>
      <c r="Q541" s="4" t="e">
        <f>Tabela2[[#This Row],[Proposta
 Negociada]]/Tabela2[[#This Row],[Proposta
 Inicial]]-1</f>
        <v>#DIV/0!</v>
      </c>
      <c r="S541"/>
    </row>
    <row r="542" spans="1:19" ht="15" customHeight="1">
      <c r="A542" s="9"/>
      <c r="B542" s="9"/>
      <c r="C542" s="1">
        <f>Tabela2[[#This Row],[Data
Pedido]]-Tabela2[[#This Row],[Data Última Aprovação RC]]</f>
        <v>0</v>
      </c>
      <c r="J542" s="1" t="str">
        <f t="shared" ca="1" si="17"/>
        <v/>
      </c>
      <c r="K542" s="11">
        <f>Tabela2[[#This Row],[SLA
Padrão]]-Tabela2[[#This Row],[SLA Atendimento]]</f>
        <v>0</v>
      </c>
      <c r="L542" s="11"/>
      <c r="O542" s="1" t="s">
        <v>30</v>
      </c>
      <c r="P542" s="2">
        <f>Tabela2[[#This Row],[Proposta
 Inicial]]-Tabela2[[#This Row],[Proposta
 Negociada]]</f>
        <v>0</v>
      </c>
      <c r="Q542" s="4" t="e">
        <f>Tabela2[[#This Row],[Proposta
 Negociada]]/Tabela2[[#This Row],[Proposta
 Inicial]]-1</f>
        <v>#DIV/0!</v>
      </c>
      <c r="S542"/>
    </row>
    <row r="543" spans="1:19" ht="15" customHeight="1">
      <c r="A543" s="9"/>
      <c r="B543" s="9"/>
      <c r="C543" s="1">
        <f>Tabela2[[#This Row],[Data
Pedido]]-Tabela2[[#This Row],[Data Última Aprovação RC]]</f>
        <v>0</v>
      </c>
      <c r="J543" s="1" t="str">
        <f t="shared" ca="1" si="17"/>
        <v/>
      </c>
      <c r="K543" s="11">
        <f>Tabela2[[#This Row],[SLA
Padrão]]-Tabela2[[#This Row],[SLA Atendimento]]</f>
        <v>0</v>
      </c>
      <c r="L543" s="11"/>
      <c r="O543" s="1" t="s">
        <v>30</v>
      </c>
      <c r="P543" s="2">
        <f>Tabela2[[#This Row],[Proposta
 Inicial]]-Tabela2[[#This Row],[Proposta
 Negociada]]</f>
        <v>0</v>
      </c>
      <c r="Q543" s="4" t="e">
        <f>Tabela2[[#This Row],[Proposta
 Negociada]]/Tabela2[[#This Row],[Proposta
 Inicial]]-1</f>
        <v>#DIV/0!</v>
      </c>
      <c r="S543"/>
    </row>
    <row r="544" spans="1:19" ht="15" customHeight="1">
      <c r="A544" s="9"/>
      <c r="B544" s="9"/>
      <c r="C544" s="1">
        <f>Tabela2[[#This Row],[Data
Pedido]]-Tabela2[[#This Row],[Data Última Aprovação RC]]</f>
        <v>0</v>
      </c>
      <c r="J544" s="1" t="str">
        <f t="shared" ca="1" si="17"/>
        <v/>
      </c>
      <c r="K544" s="11">
        <f>Tabela2[[#This Row],[SLA
Padrão]]-Tabela2[[#This Row],[SLA Atendimento]]</f>
        <v>0</v>
      </c>
      <c r="L544" s="11"/>
      <c r="O544" s="1" t="s">
        <v>30</v>
      </c>
      <c r="P544" s="2">
        <f>Tabela2[[#This Row],[Proposta
 Inicial]]-Tabela2[[#This Row],[Proposta
 Negociada]]</f>
        <v>0</v>
      </c>
      <c r="Q544" s="4" t="e">
        <f>Tabela2[[#This Row],[Proposta
 Negociada]]/Tabela2[[#This Row],[Proposta
 Inicial]]-1</f>
        <v>#DIV/0!</v>
      </c>
      <c r="S544"/>
    </row>
    <row r="545" spans="1:19" ht="15" customHeight="1">
      <c r="A545" s="9"/>
      <c r="B545" s="9"/>
      <c r="C545" s="1">
        <f>Tabela2[[#This Row],[Data
Pedido]]-Tabela2[[#This Row],[Data Última Aprovação RC]]</f>
        <v>0</v>
      </c>
      <c r="J545" s="1" t="str">
        <f t="shared" ca="1" si="17"/>
        <v/>
      </c>
      <c r="K545" s="11">
        <f>Tabela2[[#This Row],[SLA
Padrão]]-Tabela2[[#This Row],[SLA Atendimento]]</f>
        <v>0</v>
      </c>
      <c r="L545" s="11"/>
      <c r="O545" s="1" t="s">
        <v>30</v>
      </c>
      <c r="P545" s="2">
        <f>Tabela2[[#This Row],[Proposta
 Inicial]]-Tabela2[[#This Row],[Proposta
 Negociada]]</f>
        <v>0</v>
      </c>
      <c r="Q545" s="4" t="e">
        <f>Tabela2[[#This Row],[Proposta
 Negociada]]/Tabela2[[#This Row],[Proposta
 Inicial]]-1</f>
        <v>#DIV/0!</v>
      </c>
      <c r="S545"/>
    </row>
    <row r="546" spans="1:19" ht="15" customHeight="1">
      <c r="A546" s="9"/>
      <c r="B546" s="9"/>
      <c r="C546" s="1">
        <f>Tabela2[[#This Row],[Data
Pedido]]-Tabela2[[#This Row],[Data Última Aprovação RC]]</f>
        <v>0</v>
      </c>
      <c r="J546" s="1" t="str">
        <f t="shared" ca="1" si="17"/>
        <v/>
      </c>
      <c r="K546" s="11">
        <f>Tabela2[[#This Row],[SLA
Padrão]]-Tabela2[[#This Row],[SLA Atendimento]]</f>
        <v>0</v>
      </c>
      <c r="L546" s="11"/>
      <c r="O546" s="1" t="s">
        <v>30</v>
      </c>
      <c r="P546" s="2">
        <f>Tabela2[[#This Row],[Proposta
 Inicial]]-Tabela2[[#This Row],[Proposta
 Negociada]]</f>
        <v>0</v>
      </c>
      <c r="Q546" s="4" t="e">
        <f>Tabela2[[#This Row],[Proposta
 Negociada]]/Tabela2[[#This Row],[Proposta
 Inicial]]-1</f>
        <v>#DIV/0!</v>
      </c>
      <c r="S546"/>
    </row>
    <row r="547" spans="1:19" ht="15" customHeight="1">
      <c r="A547" s="9"/>
      <c r="B547" s="9"/>
      <c r="C547" s="1">
        <f>Tabela2[[#This Row],[Data
Pedido]]-Tabela2[[#This Row],[Data Última Aprovação RC]]</f>
        <v>0</v>
      </c>
      <c r="J547" s="1" t="str">
        <f t="shared" ca="1" si="17"/>
        <v/>
      </c>
      <c r="K547" s="11">
        <f>Tabela2[[#This Row],[SLA
Padrão]]-Tabela2[[#This Row],[SLA Atendimento]]</f>
        <v>0</v>
      </c>
      <c r="L547" s="11"/>
      <c r="O547" s="1" t="s">
        <v>30</v>
      </c>
      <c r="P547" s="2">
        <f>Tabela2[[#This Row],[Proposta
 Inicial]]-Tabela2[[#This Row],[Proposta
 Negociada]]</f>
        <v>0</v>
      </c>
      <c r="Q547" s="4" t="e">
        <f>Tabela2[[#This Row],[Proposta
 Negociada]]/Tabela2[[#This Row],[Proposta
 Inicial]]-1</f>
        <v>#DIV/0!</v>
      </c>
      <c r="S547"/>
    </row>
    <row r="548" spans="1:19" ht="15" customHeight="1">
      <c r="A548" s="9"/>
      <c r="B548" s="9"/>
      <c r="C548" s="1">
        <f>Tabela2[[#This Row],[Data
Pedido]]-Tabela2[[#This Row],[Data Última Aprovação RC]]</f>
        <v>0</v>
      </c>
      <c r="J548" s="1" t="str">
        <f t="shared" ca="1" si="17"/>
        <v/>
      </c>
      <c r="K548" s="11">
        <f>Tabela2[[#This Row],[SLA
Padrão]]-Tabela2[[#This Row],[SLA Atendimento]]</f>
        <v>0</v>
      </c>
      <c r="L548" s="11"/>
      <c r="O548" s="1" t="s">
        <v>30</v>
      </c>
      <c r="P548" s="2">
        <f>Tabela2[[#This Row],[Proposta
 Inicial]]-Tabela2[[#This Row],[Proposta
 Negociada]]</f>
        <v>0</v>
      </c>
      <c r="Q548" s="4" t="e">
        <f>Tabela2[[#This Row],[Proposta
 Negociada]]/Tabela2[[#This Row],[Proposta
 Inicial]]-1</f>
        <v>#DIV/0!</v>
      </c>
      <c r="S548"/>
    </row>
    <row r="549" spans="1:19" ht="15" customHeight="1">
      <c r="A549" s="9"/>
      <c r="B549" s="9"/>
      <c r="C549" s="1">
        <f>Tabela2[[#This Row],[Data
Pedido]]-Tabela2[[#This Row],[Data Última Aprovação RC]]</f>
        <v>0</v>
      </c>
      <c r="J549" s="1" t="str">
        <f t="shared" ca="1" si="17"/>
        <v/>
      </c>
      <c r="K549" s="11">
        <f>Tabela2[[#This Row],[SLA
Padrão]]-Tabela2[[#This Row],[SLA Atendimento]]</f>
        <v>0</v>
      </c>
      <c r="L549" s="11"/>
      <c r="O549" s="1" t="s">
        <v>30</v>
      </c>
      <c r="P549" s="2">
        <f>Tabela2[[#This Row],[Proposta
 Inicial]]-Tabela2[[#This Row],[Proposta
 Negociada]]</f>
        <v>0</v>
      </c>
      <c r="Q549" s="4" t="e">
        <f>Tabela2[[#This Row],[Proposta
 Negociada]]/Tabela2[[#This Row],[Proposta
 Inicial]]-1</f>
        <v>#DIV/0!</v>
      </c>
      <c r="S549"/>
    </row>
    <row r="550" spans="1:19" ht="15" customHeight="1">
      <c r="A550" s="9"/>
      <c r="B550" s="9"/>
      <c r="C550" s="1">
        <f>Tabela2[[#This Row],[Data
Pedido]]-Tabela2[[#This Row],[Data Última Aprovação RC]]</f>
        <v>0</v>
      </c>
      <c r="J550" s="1" t="str">
        <f t="shared" ca="1" si="17"/>
        <v/>
      </c>
      <c r="K550" s="11">
        <f>Tabela2[[#This Row],[SLA
Padrão]]-Tabela2[[#This Row],[SLA Atendimento]]</f>
        <v>0</v>
      </c>
      <c r="L550" s="11"/>
      <c r="O550" s="1" t="s">
        <v>30</v>
      </c>
      <c r="P550" s="2">
        <f>Tabela2[[#This Row],[Proposta
 Inicial]]-Tabela2[[#This Row],[Proposta
 Negociada]]</f>
        <v>0</v>
      </c>
      <c r="Q550" s="4" t="e">
        <f>Tabela2[[#This Row],[Proposta
 Negociada]]/Tabela2[[#This Row],[Proposta
 Inicial]]-1</f>
        <v>#DIV/0!</v>
      </c>
      <c r="S550"/>
    </row>
    <row r="551" spans="1:19" ht="15" customHeight="1">
      <c r="A551" s="9"/>
      <c r="B551" s="9"/>
      <c r="C551" s="1">
        <f>Tabela2[[#This Row],[Data
Pedido]]-Tabela2[[#This Row],[Data Última Aprovação RC]]</f>
        <v>0</v>
      </c>
      <c r="J551" s="1" t="str">
        <f t="shared" ca="1" si="17"/>
        <v/>
      </c>
      <c r="K551" s="11">
        <f>Tabela2[[#This Row],[SLA
Padrão]]-Tabela2[[#This Row],[SLA Atendimento]]</f>
        <v>0</v>
      </c>
      <c r="L551" s="11"/>
      <c r="O551" s="1" t="s">
        <v>30</v>
      </c>
      <c r="P551" s="2">
        <f>Tabela2[[#This Row],[Proposta
 Inicial]]-Tabela2[[#This Row],[Proposta
 Negociada]]</f>
        <v>0</v>
      </c>
      <c r="Q551" s="4" t="e">
        <f>Tabela2[[#This Row],[Proposta
 Negociada]]/Tabela2[[#This Row],[Proposta
 Inicial]]-1</f>
        <v>#DIV/0!</v>
      </c>
      <c r="S551"/>
    </row>
    <row r="552" spans="1:19" ht="15" customHeight="1">
      <c r="A552" s="9"/>
      <c r="B552" s="9"/>
      <c r="C552" s="1">
        <f>Tabela2[[#This Row],[Data
Pedido]]-Tabela2[[#This Row],[Data Última Aprovação RC]]</f>
        <v>0</v>
      </c>
      <c r="J552" s="1" t="str">
        <f t="shared" ca="1" si="17"/>
        <v/>
      </c>
      <c r="K552" s="11">
        <f>Tabela2[[#This Row],[SLA
Padrão]]-Tabela2[[#This Row],[SLA Atendimento]]</f>
        <v>0</v>
      </c>
      <c r="L552" s="11"/>
      <c r="O552" s="1" t="s">
        <v>30</v>
      </c>
      <c r="P552" s="2">
        <f>Tabela2[[#This Row],[Proposta
 Inicial]]-Tabela2[[#This Row],[Proposta
 Negociada]]</f>
        <v>0</v>
      </c>
      <c r="Q552" s="4" t="e">
        <f>Tabela2[[#This Row],[Proposta
 Negociada]]/Tabela2[[#This Row],[Proposta
 Inicial]]-1</f>
        <v>#DIV/0!</v>
      </c>
      <c r="S552"/>
    </row>
    <row r="553" spans="1:19" ht="15" customHeight="1">
      <c r="A553" s="9"/>
      <c r="B553" s="9"/>
      <c r="C553" s="1">
        <f>Tabela2[[#This Row],[Data
Pedido]]-Tabela2[[#This Row],[Data Última Aprovação RC]]</f>
        <v>0</v>
      </c>
      <c r="J553" s="1" t="str">
        <f t="shared" ca="1" si="17"/>
        <v/>
      </c>
      <c r="K553" s="11">
        <f>Tabela2[[#This Row],[SLA
Padrão]]-Tabela2[[#This Row],[SLA Atendimento]]</f>
        <v>0</v>
      </c>
      <c r="L553" s="11"/>
      <c r="O553" s="1" t="s">
        <v>30</v>
      </c>
      <c r="P553" s="2">
        <f>Tabela2[[#This Row],[Proposta
 Inicial]]-Tabela2[[#This Row],[Proposta
 Negociada]]</f>
        <v>0</v>
      </c>
      <c r="Q553" s="4" t="e">
        <f>Tabela2[[#This Row],[Proposta
 Negociada]]/Tabela2[[#This Row],[Proposta
 Inicial]]-1</f>
        <v>#DIV/0!</v>
      </c>
      <c r="S553"/>
    </row>
    <row r="554" spans="1:19" ht="15" customHeight="1">
      <c r="A554" s="9"/>
      <c r="B554" s="9"/>
      <c r="C554" s="1">
        <f>Tabela2[[#This Row],[Data
Pedido]]-Tabela2[[#This Row],[Data Última Aprovação RC]]</f>
        <v>0</v>
      </c>
      <c r="J554" s="1" t="str">
        <f t="shared" ca="1" si="17"/>
        <v/>
      </c>
      <c r="K554" s="11">
        <f>Tabela2[[#This Row],[SLA
Padrão]]-Tabela2[[#This Row],[SLA Atendimento]]</f>
        <v>0</v>
      </c>
      <c r="L554" s="11"/>
      <c r="O554" s="1" t="s">
        <v>30</v>
      </c>
      <c r="P554" s="2">
        <f>Tabela2[[#This Row],[Proposta
 Inicial]]-Tabela2[[#This Row],[Proposta
 Negociada]]</f>
        <v>0</v>
      </c>
      <c r="Q554" s="4" t="e">
        <f>Tabela2[[#This Row],[Proposta
 Negociada]]/Tabela2[[#This Row],[Proposta
 Inicial]]-1</f>
        <v>#DIV/0!</v>
      </c>
      <c r="S554"/>
    </row>
    <row r="555" spans="1:19" ht="15" customHeight="1">
      <c r="A555" s="9"/>
      <c r="B555" s="9"/>
      <c r="C555" s="1">
        <f>Tabela2[[#This Row],[Data
Pedido]]-Tabela2[[#This Row],[Data Última Aprovação RC]]</f>
        <v>0</v>
      </c>
      <c r="J555" s="1" t="str">
        <f t="shared" ref="J555:J618" ca="1" si="18">IF(A555="","",IF(B555="",IF(TODAY()-A555&gt;I555,"ATRASADA","EM ANDAMENTO"),IF(B555-A555&gt;I555,"ATRASADA","NO PRAZO")))</f>
        <v/>
      </c>
      <c r="K555" s="11">
        <f>Tabela2[[#This Row],[SLA
Padrão]]-Tabela2[[#This Row],[SLA Atendimento]]</f>
        <v>0</v>
      </c>
      <c r="L555" s="11"/>
      <c r="O555" s="1" t="s">
        <v>30</v>
      </c>
      <c r="P555" s="2">
        <f>Tabela2[[#This Row],[Proposta
 Inicial]]-Tabela2[[#This Row],[Proposta
 Negociada]]</f>
        <v>0</v>
      </c>
      <c r="Q555" s="4" t="e">
        <f>Tabela2[[#This Row],[Proposta
 Negociada]]/Tabela2[[#This Row],[Proposta
 Inicial]]-1</f>
        <v>#DIV/0!</v>
      </c>
      <c r="S555"/>
    </row>
    <row r="556" spans="1:19" ht="15" customHeight="1">
      <c r="A556" s="9"/>
      <c r="B556" s="9"/>
      <c r="C556" s="1">
        <f>Tabela2[[#This Row],[Data
Pedido]]-Tabela2[[#This Row],[Data Última Aprovação RC]]</f>
        <v>0</v>
      </c>
      <c r="J556" s="1" t="str">
        <f t="shared" ca="1" si="18"/>
        <v/>
      </c>
      <c r="K556" s="11">
        <f>Tabela2[[#This Row],[SLA
Padrão]]-Tabela2[[#This Row],[SLA Atendimento]]</f>
        <v>0</v>
      </c>
      <c r="L556" s="11"/>
      <c r="O556" s="1" t="s">
        <v>30</v>
      </c>
      <c r="P556" s="2">
        <f>Tabela2[[#This Row],[Proposta
 Inicial]]-Tabela2[[#This Row],[Proposta
 Negociada]]</f>
        <v>0</v>
      </c>
      <c r="Q556" s="4" t="e">
        <f>Tabela2[[#This Row],[Proposta
 Negociada]]/Tabela2[[#This Row],[Proposta
 Inicial]]-1</f>
        <v>#DIV/0!</v>
      </c>
      <c r="S556"/>
    </row>
    <row r="557" spans="1:19" ht="15" customHeight="1">
      <c r="A557" s="9"/>
      <c r="B557" s="9"/>
      <c r="C557" s="1">
        <f>Tabela2[[#This Row],[Data
Pedido]]-Tabela2[[#This Row],[Data Última Aprovação RC]]</f>
        <v>0</v>
      </c>
      <c r="J557" s="1" t="str">
        <f t="shared" ca="1" si="18"/>
        <v/>
      </c>
      <c r="K557" s="11">
        <f>Tabela2[[#This Row],[SLA
Padrão]]-Tabela2[[#This Row],[SLA Atendimento]]</f>
        <v>0</v>
      </c>
      <c r="L557" s="11"/>
      <c r="O557" s="1" t="s">
        <v>30</v>
      </c>
      <c r="P557" s="2">
        <f>Tabela2[[#This Row],[Proposta
 Inicial]]-Tabela2[[#This Row],[Proposta
 Negociada]]</f>
        <v>0</v>
      </c>
      <c r="Q557" s="4" t="e">
        <f>Tabela2[[#This Row],[Proposta
 Negociada]]/Tabela2[[#This Row],[Proposta
 Inicial]]-1</f>
        <v>#DIV/0!</v>
      </c>
      <c r="S557"/>
    </row>
    <row r="558" spans="1:19" ht="15" customHeight="1">
      <c r="A558" s="9"/>
      <c r="B558" s="9"/>
      <c r="C558" s="1">
        <f>Tabela2[[#This Row],[Data
Pedido]]-Tabela2[[#This Row],[Data Última Aprovação RC]]</f>
        <v>0</v>
      </c>
      <c r="J558" s="1" t="str">
        <f t="shared" ca="1" si="18"/>
        <v/>
      </c>
      <c r="K558" s="11">
        <f>Tabela2[[#This Row],[SLA
Padrão]]-Tabela2[[#This Row],[SLA Atendimento]]</f>
        <v>0</v>
      </c>
      <c r="L558" s="11"/>
      <c r="O558" s="1" t="s">
        <v>30</v>
      </c>
      <c r="P558" s="2">
        <f>Tabela2[[#This Row],[Proposta
 Inicial]]-Tabela2[[#This Row],[Proposta
 Negociada]]</f>
        <v>0</v>
      </c>
      <c r="Q558" s="4" t="e">
        <f>Tabela2[[#This Row],[Proposta
 Negociada]]/Tabela2[[#This Row],[Proposta
 Inicial]]-1</f>
        <v>#DIV/0!</v>
      </c>
      <c r="S558"/>
    </row>
    <row r="559" spans="1:19" ht="15" customHeight="1">
      <c r="A559" s="9"/>
      <c r="B559" s="9"/>
      <c r="C559" s="1">
        <f>Tabela2[[#This Row],[Data
Pedido]]-Tabela2[[#This Row],[Data Última Aprovação RC]]</f>
        <v>0</v>
      </c>
      <c r="J559" s="1" t="str">
        <f t="shared" ca="1" si="18"/>
        <v/>
      </c>
      <c r="K559" s="11">
        <f>Tabela2[[#This Row],[SLA
Padrão]]-Tabela2[[#This Row],[SLA Atendimento]]</f>
        <v>0</v>
      </c>
      <c r="L559" s="11"/>
      <c r="O559" s="1" t="s">
        <v>30</v>
      </c>
      <c r="P559" s="2">
        <f>Tabela2[[#This Row],[Proposta
 Inicial]]-Tabela2[[#This Row],[Proposta
 Negociada]]</f>
        <v>0</v>
      </c>
      <c r="Q559" s="4" t="e">
        <f>Tabela2[[#This Row],[Proposta
 Negociada]]/Tabela2[[#This Row],[Proposta
 Inicial]]-1</f>
        <v>#DIV/0!</v>
      </c>
      <c r="S559"/>
    </row>
    <row r="560" spans="1:19" ht="15" customHeight="1">
      <c r="A560" s="9"/>
      <c r="B560" s="9"/>
      <c r="C560" s="1">
        <f>Tabela2[[#This Row],[Data
Pedido]]-Tabela2[[#This Row],[Data Última Aprovação RC]]</f>
        <v>0</v>
      </c>
      <c r="J560" s="1" t="str">
        <f t="shared" ca="1" si="18"/>
        <v/>
      </c>
      <c r="K560" s="11">
        <f>Tabela2[[#This Row],[SLA
Padrão]]-Tabela2[[#This Row],[SLA Atendimento]]</f>
        <v>0</v>
      </c>
      <c r="L560" s="11"/>
      <c r="O560" s="1" t="s">
        <v>30</v>
      </c>
      <c r="P560" s="2">
        <f>Tabela2[[#This Row],[Proposta
 Inicial]]-Tabela2[[#This Row],[Proposta
 Negociada]]</f>
        <v>0</v>
      </c>
      <c r="Q560" s="4" t="e">
        <f>Tabela2[[#This Row],[Proposta
 Negociada]]/Tabela2[[#This Row],[Proposta
 Inicial]]-1</f>
        <v>#DIV/0!</v>
      </c>
      <c r="S560"/>
    </row>
    <row r="561" spans="1:19" ht="15" customHeight="1">
      <c r="A561" s="9"/>
      <c r="B561" s="9"/>
      <c r="C561" s="1">
        <f>Tabela2[[#This Row],[Data
Pedido]]-Tabela2[[#This Row],[Data Última Aprovação RC]]</f>
        <v>0</v>
      </c>
      <c r="J561" s="1" t="str">
        <f t="shared" ca="1" si="18"/>
        <v/>
      </c>
      <c r="K561" s="11">
        <f>Tabela2[[#This Row],[SLA
Padrão]]-Tabela2[[#This Row],[SLA Atendimento]]</f>
        <v>0</v>
      </c>
      <c r="L561" s="11"/>
      <c r="O561" s="1" t="s">
        <v>30</v>
      </c>
      <c r="P561" s="2">
        <f>Tabela2[[#This Row],[Proposta
 Inicial]]-Tabela2[[#This Row],[Proposta
 Negociada]]</f>
        <v>0</v>
      </c>
      <c r="Q561" s="4" t="e">
        <f>Tabela2[[#This Row],[Proposta
 Negociada]]/Tabela2[[#This Row],[Proposta
 Inicial]]-1</f>
        <v>#DIV/0!</v>
      </c>
      <c r="S561"/>
    </row>
    <row r="562" spans="1:19" ht="15" customHeight="1">
      <c r="A562" s="9"/>
      <c r="B562" s="9"/>
      <c r="C562" s="1">
        <f>Tabela2[[#This Row],[Data
Pedido]]-Tabela2[[#This Row],[Data Última Aprovação RC]]</f>
        <v>0</v>
      </c>
      <c r="J562" s="1" t="str">
        <f t="shared" ca="1" si="18"/>
        <v/>
      </c>
      <c r="K562" s="11">
        <f>Tabela2[[#This Row],[SLA
Padrão]]-Tabela2[[#This Row],[SLA Atendimento]]</f>
        <v>0</v>
      </c>
      <c r="L562" s="11"/>
      <c r="O562" s="1" t="s">
        <v>30</v>
      </c>
      <c r="P562" s="2">
        <f>Tabela2[[#This Row],[Proposta
 Inicial]]-Tabela2[[#This Row],[Proposta
 Negociada]]</f>
        <v>0</v>
      </c>
      <c r="Q562" s="4" t="e">
        <f>Tabela2[[#This Row],[Proposta
 Negociada]]/Tabela2[[#This Row],[Proposta
 Inicial]]-1</f>
        <v>#DIV/0!</v>
      </c>
      <c r="S562"/>
    </row>
    <row r="563" spans="1:19" ht="15" customHeight="1">
      <c r="A563" s="9"/>
      <c r="B563" s="9"/>
      <c r="C563" s="1">
        <f>Tabela2[[#This Row],[Data
Pedido]]-Tabela2[[#This Row],[Data Última Aprovação RC]]</f>
        <v>0</v>
      </c>
      <c r="J563" s="1" t="str">
        <f t="shared" ca="1" si="18"/>
        <v/>
      </c>
      <c r="K563" s="11">
        <f>Tabela2[[#This Row],[SLA
Padrão]]-Tabela2[[#This Row],[SLA Atendimento]]</f>
        <v>0</v>
      </c>
      <c r="L563" s="11"/>
      <c r="O563" s="1" t="s">
        <v>30</v>
      </c>
      <c r="P563" s="2">
        <f>Tabela2[[#This Row],[Proposta
 Inicial]]-Tabela2[[#This Row],[Proposta
 Negociada]]</f>
        <v>0</v>
      </c>
      <c r="Q563" s="4" t="e">
        <f>Tabela2[[#This Row],[Proposta
 Negociada]]/Tabela2[[#This Row],[Proposta
 Inicial]]-1</f>
        <v>#DIV/0!</v>
      </c>
      <c r="S563"/>
    </row>
    <row r="564" spans="1:19" ht="15" customHeight="1">
      <c r="A564" s="9"/>
      <c r="B564" s="9"/>
      <c r="C564" s="1">
        <f>Tabela2[[#This Row],[Data
Pedido]]-Tabela2[[#This Row],[Data Última Aprovação RC]]</f>
        <v>0</v>
      </c>
      <c r="J564" s="1" t="str">
        <f t="shared" ca="1" si="18"/>
        <v/>
      </c>
      <c r="K564" s="11">
        <f>Tabela2[[#This Row],[SLA
Padrão]]-Tabela2[[#This Row],[SLA Atendimento]]</f>
        <v>0</v>
      </c>
      <c r="L564" s="11"/>
      <c r="O564" s="1" t="s">
        <v>30</v>
      </c>
      <c r="P564" s="2">
        <f>Tabela2[[#This Row],[Proposta
 Inicial]]-Tabela2[[#This Row],[Proposta
 Negociada]]</f>
        <v>0</v>
      </c>
      <c r="Q564" s="4" t="e">
        <f>Tabela2[[#This Row],[Proposta
 Negociada]]/Tabela2[[#This Row],[Proposta
 Inicial]]-1</f>
        <v>#DIV/0!</v>
      </c>
      <c r="S564"/>
    </row>
    <row r="565" spans="1:19" ht="15" customHeight="1">
      <c r="A565" s="9"/>
      <c r="B565" s="9"/>
      <c r="C565" s="1">
        <f>Tabela2[[#This Row],[Data
Pedido]]-Tabela2[[#This Row],[Data Última Aprovação RC]]</f>
        <v>0</v>
      </c>
      <c r="J565" s="1" t="str">
        <f t="shared" ca="1" si="18"/>
        <v/>
      </c>
      <c r="K565" s="11">
        <f>Tabela2[[#This Row],[SLA
Padrão]]-Tabela2[[#This Row],[SLA Atendimento]]</f>
        <v>0</v>
      </c>
      <c r="L565" s="11"/>
      <c r="O565" s="1" t="s">
        <v>30</v>
      </c>
      <c r="P565" s="2">
        <f>Tabela2[[#This Row],[Proposta
 Inicial]]-Tabela2[[#This Row],[Proposta
 Negociada]]</f>
        <v>0</v>
      </c>
      <c r="Q565" s="4" t="e">
        <f>Tabela2[[#This Row],[Proposta
 Negociada]]/Tabela2[[#This Row],[Proposta
 Inicial]]-1</f>
        <v>#DIV/0!</v>
      </c>
      <c r="S565"/>
    </row>
    <row r="566" spans="1:19" ht="15" customHeight="1">
      <c r="A566" s="9"/>
      <c r="B566" s="9"/>
      <c r="C566" s="1">
        <f>Tabela2[[#This Row],[Data
Pedido]]-Tabela2[[#This Row],[Data Última Aprovação RC]]</f>
        <v>0</v>
      </c>
      <c r="J566" s="1" t="str">
        <f t="shared" ca="1" si="18"/>
        <v/>
      </c>
      <c r="K566" s="11">
        <f>Tabela2[[#This Row],[SLA
Padrão]]-Tabela2[[#This Row],[SLA Atendimento]]</f>
        <v>0</v>
      </c>
      <c r="L566" s="11"/>
      <c r="O566" s="1" t="s">
        <v>30</v>
      </c>
      <c r="P566" s="2">
        <f>Tabela2[[#This Row],[Proposta
 Inicial]]-Tabela2[[#This Row],[Proposta
 Negociada]]</f>
        <v>0</v>
      </c>
      <c r="Q566" s="4" t="e">
        <f>Tabela2[[#This Row],[Proposta
 Negociada]]/Tabela2[[#This Row],[Proposta
 Inicial]]-1</f>
        <v>#DIV/0!</v>
      </c>
      <c r="S566"/>
    </row>
    <row r="567" spans="1:19" ht="15" customHeight="1">
      <c r="A567" s="9"/>
      <c r="B567" s="9"/>
      <c r="C567" s="1">
        <f>Tabela2[[#This Row],[Data
Pedido]]-Tabela2[[#This Row],[Data Última Aprovação RC]]</f>
        <v>0</v>
      </c>
      <c r="J567" s="1" t="str">
        <f t="shared" ca="1" si="18"/>
        <v/>
      </c>
      <c r="K567" s="11">
        <f>Tabela2[[#This Row],[SLA
Padrão]]-Tabela2[[#This Row],[SLA Atendimento]]</f>
        <v>0</v>
      </c>
      <c r="L567" s="11"/>
      <c r="O567" s="1" t="s">
        <v>30</v>
      </c>
      <c r="P567" s="2">
        <f>Tabela2[[#This Row],[Proposta
 Inicial]]-Tabela2[[#This Row],[Proposta
 Negociada]]</f>
        <v>0</v>
      </c>
      <c r="Q567" s="4" t="e">
        <f>Tabela2[[#This Row],[Proposta
 Negociada]]/Tabela2[[#This Row],[Proposta
 Inicial]]-1</f>
        <v>#DIV/0!</v>
      </c>
      <c r="S567"/>
    </row>
    <row r="568" spans="1:19" ht="15" customHeight="1">
      <c r="A568" s="9"/>
      <c r="B568" s="9"/>
      <c r="C568" s="1">
        <f>Tabela2[[#This Row],[Data
Pedido]]-Tabela2[[#This Row],[Data Última Aprovação RC]]</f>
        <v>0</v>
      </c>
      <c r="J568" s="1" t="str">
        <f t="shared" ca="1" si="18"/>
        <v/>
      </c>
      <c r="K568" s="11">
        <f>Tabela2[[#This Row],[SLA
Padrão]]-Tabela2[[#This Row],[SLA Atendimento]]</f>
        <v>0</v>
      </c>
      <c r="L568" s="11"/>
      <c r="O568" s="1" t="s">
        <v>30</v>
      </c>
      <c r="P568" s="2">
        <f>Tabela2[[#This Row],[Proposta
 Inicial]]-Tabela2[[#This Row],[Proposta
 Negociada]]</f>
        <v>0</v>
      </c>
      <c r="Q568" s="4" t="e">
        <f>Tabela2[[#This Row],[Proposta
 Negociada]]/Tabela2[[#This Row],[Proposta
 Inicial]]-1</f>
        <v>#DIV/0!</v>
      </c>
      <c r="S568"/>
    </row>
    <row r="569" spans="1:19" ht="15" customHeight="1">
      <c r="A569" s="9"/>
      <c r="B569" s="9"/>
      <c r="C569" s="1">
        <f>Tabela2[[#This Row],[Data
Pedido]]-Tabela2[[#This Row],[Data Última Aprovação RC]]</f>
        <v>0</v>
      </c>
      <c r="J569" s="1" t="str">
        <f t="shared" ca="1" si="18"/>
        <v/>
      </c>
      <c r="K569" s="11">
        <f>Tabela2[[#This Row],[SLA
Padrão]]-Tabela2[[#This Row],[SLA Atendimento]]</f>
        <v>0</v>
      </c>
      <c r="L569" s="11"/>
      <c r="O569" s="1" t="s">
        <v>30</v>
      </c>
      <c r="P569" s="2">
        <f>Tabela2[[#This Row],[Proposta
 Inicial]]-Tabela2[[#This Row],[Proposta
 Negociada]]</f>
        <v>0</v>
      </c>
      <c r="Q569" s="4" t="e">
        <f>Tabela2[[#This Row],[Proposta
 Negociada]]/Tabela2[[#This Row],[Proposta
 Inicial]]-1</f>
        <v>#DIV/0!</v>
      </c>
      <c r="S569"/>
    </row>
    <row r="570" spans="1:19" ht="15" customHeight="1">
      <c r="A570" s="9"/>
      <c r="B570" s="9"/>
      <c r="C570" s="1">
        <f>Tabela2[[#This Row],[Data
Pedido]]-Tabela2[[#This Row],[Data Última Aprovação RC]]</f>
        <v>0</v>
      </c>
      <c r="J570" s="1" t="str">
        <f t="shared" ca="1" si="18"/>
        <v/>
      </c>
      <c r="K570" s="11">
        <f>Tabela2[[#This Row],[SLA
Padrão]]-Tabela2[[#This Row],[SLA Atendimento]]</f>
        <v>0</v>
      </c>
      <c r="L570" s="11"/>
      <c r="O570" s="1" t="s">
        <v>30</v>
      </c>
      <c r="P570" s="2">
        <f>Tabela2[[#This Row],[Proposta
 Inicial]]-Tabela2[[#This Row],[Proposta
 Negociada]]</f>
        <v>0</v>
      </c>
      <c r="Q570" s="4" t="e">
        <f>Tabela2[[#This Row],[Proposta
 Negociada]]/Tabela2[[#This Row],[Proposta
 Inicial]]-1</f>
        <v>#DIV/0!</v>
      </c>
      <c r="S570"/>
    </row>
    <row r="571" spans="1:19" ht="15" customHeight="1">
      <c r="A571" s="9"/>
      <c r="B571" s="9"/>
      <c r="C571" s="1">
        <f>Tabela2[[#This Row],[Data
Pedido]]-Tabela2[[#This Row],[Data Última Aprovação RC]]</f>
        <v>0</v>
      </c>
      <c r="J571" s="1" t="str">
        <f t="shared" ca="1" si="18"/>
        <v/>
      </c>
      <c r="K571" s="11">
        <f>Tabela2[[#This Row],[SLA
Padrão]]-Tabela2[[#This Row],[SLA Atendimento]]</f>
        <v>0</v>
      </c>
      <c r="L571" s="11"/>
      <c r="O571" s="1" t="s">
        <v>30</v>
      </c>
      <c r="P571" s="2">
        <f>Tabela2[[#This Row],[Proposta
 Inicial]]-Tabela2[[#This Row],[Proposta
 Negociada]]</f>
        <v>0</v>
      </c>
      <c r="Q571" s="4" t="e">
        <f>Tabela2[[#This Row],[Proposta
 Negociada]]/Tabela2[[#This Row],[Proposta
 Inicial]]-1</f>
        <v>#DIV/0!</v>
      </c>
      <c r="S571"/>
    </row>
    <row r="572" spans="1:19" ht="15" customHeight="1">
      <c r="A572" s="9"/>
      <c r="B572" s="9"/>
      <c r="C572" s="1">
        <f>Tabela2[[#This Row],[Data
Pedido]]-Tabela2[[#This Row],[Data Última Aprovação RC]]</f>
        <v>0</v>
      </c>
      <c r="J572" s="1" t="str">
        <f t="shared" ca="1" si="18"/>
        <v/>
      </c>
      <c r="K572" s="11">
        <f>Tabela2[[#This Row],[SLA
Padrão]]-Tabela2[[#This Row],[SLA Atendimento]]</f>
        <v>0</v>
      </c>
      <c r="L572" s="11"/>
      <c r="O572" s="1" t="s">
        <v>30</v>
      </c>
      <c r="P572" s="2">
        <f>Tabela2[[#This Row],[Proposta
 Inicial]]-Tabela2[[#This Row],[Proposta
 Negociada]]</f>
        <v>0</v>
      </c>
      <c r="Q572" s="4" t="e">
        <f>Tabela2[[#This Row],[Proposta
 Negociada]]/Tabela2[[#This Row],[Proposta
 Inicial]]-1</f>
        <v>#DIV/0!</v>
      </c>
      <c r="S572"/>
    </row>
    <row r="573" spans="1:19" ht="15" customHeight="1">
      <c r="A573" s="9"/>
      <c r="B573" s="9"/>
      <c r="C573" s="1">
        <f>Tabela2[[#This Row],[Data
Pedido]]-Tabela2[[#This Row],[Data Última Aprovação RC]]</f>
        <v>0</v>
      </c>
      <c r="J573" s="1" t="str">
        <f t="shared" ca="1" si="18"/>
        <v/>
      </c>
      <c r="K573" s="11">
        <f>Tabela2[[#This Row],[SLA
Padrão]]-Tabela2[[#This Row],[SLA Atendimento]]</f>
        <v>0</v>
      </c>
      <c r="L573" s="11"/>
      <c r="O573" s="1" t="s">
        <v>30</v>
      </c>
      <c r="P573" s="2">
        <f>Tabela2[[#This Row],[Proposta
 Inicial]]-Tabela2[[#This Row],[Proposta
 Negociada]]</f>
        <v>0</v>
      </c>
      <c r="Q573" s="4" t="e">
        <f>Tabela2[[#This Row],[Proposta
 Negociada]]/Tabela2[[#This Row],[Proposta
 Inicial]]-1</f>
        <v>#DIV/0!</v>
      </c>
      <c r="S573"/>
    </row>
    <row r="574" spans="1:19" ht="15" customHeight="1">
      <c r="A574" s="9"/>
      <c r="B574" s="9"/>
      <c r="C574" s="1">
        <f>Tabela2[[#This Row],[Data
Pedido]]-Tabela2[[#This Row],[Data Última Aprovação RC]]</f>
        <v>0</v>
      </c>
      <c r="J574" s="1" t="str">
        <f t="shared" ca="1" si="18"/>
        <v/>
      </c>
      <c r="K574" s="11">
        <f>Tabela2[[#This Row],[SLA
Padrão]]-Tabela2[[#This Row],[SLA Atendimento]]</f>
        <v>0</v>
      </c>
      <c r="L574" s="11"/>
      <c r="O574" s="1" t="s">
        <v>30</v>
      </c>
      <c r="P574" s="2">
        <f>Tabela2[[#This Row],[Proposta
 Inicial]]-Tabela2[[#This Row],[Proposta
 Negociada]]</f>
        <v>0</v>
      </c>
      <c r="Q574" s="4" t="e">
        <f>Tabela2[[#This Row],[Proposta
 Negociada]]/Tabela2[[#This Row],[Proposta
 Inicial]]-1</f>
        <v>#DIV/0!</v>
      </c>
      <c r="S574"/>
    </row>
    <row r="575" spans="1:19" ht="15" customHeight="1">
      <c r="A575" s="9"/>
      <c r="B575" s="9"/>
      <c r="C575" s="1">
        <f>Tabela2[[#This Row],[Data
Pedido]]-Tabela2[[#This Row],[Data Última Aprovação RC]]</f>
        <v>0</v>
      </c>
      <c r="J575" s="1" t="str">
        <f t="shared" ca="1" si="18"/>
        <v/>
      </c>
      <c r="K575" s="11">
        <f>Tabela2[[#This Row],[SLA
Padrão]]-Tabela2[[#This Row],[SLA Atendimento]]</f>
        <v>0</v>
      </c>
      <c r="L575" s="11"/>
      <c r="O575" s="1" t="s">
        <v>30</v>
      </c>
      <c r="P575" s="2">
        <f>Tabela2[[#This Row],[Proposta
 Inicial]]-Tabela2[[#This Row],[Proposta
 Negociada]]</f>
        <v>0</v>
      </c>
      <c r="Q575" s="4" t="e">
        <f>Tabela2[[#This Row],[Proposta
 Negociada]]/Tabela2[[#This Row],[Proposta
 Inicial]]-1</f>
        <v>#DIV/0!</v>
      </c>
      <c r="S575"/>
    </row>
    <row r="576" spans="1:19" ht="15" customHeight="1">
      <c r="A576" s="9"/>
      <c r="B576" s="9"/>
      <c r="C576" s="1">
        <f>Tabela2[[#This Row],[Data
Pedido]]-Tabela2[[#This Row],[Data Última Aprovação RC]]</f>
        <v>0</v>
      </c>
      <c r="J576" s="1" t="str">
        <f t="shared" ca="1" si="18"/>
        <v/>
      </c>
      <c r="K576" s="11">
        <f>Tabela2[[#This Row],[SLA
Padrão]]-Tabela2[[#This Row],[SLA Atendimento]]</f>
        <v>0</v>
      </c>
      <c r="L576" s="11"/>
      <c r="O576" s="1" t="s">
        <v>30</v>
      </c>
      <c r="P576" s="2">
        <f>Tabela2[[#This Row],[Proposta
 Inicial]]-Tabela2[[#This Row],[Proposta
 Negociada]]</f>
        <v>0</v>
      </c>
      <c r="Q576" s="4" t="e">
        <f>Tabela2[[#This Row],[Proposta
 Negociada]]/Tabela2[[#This Row],[Proposta
 Inicial]]-1</f>
        <v>#DIV/0!</v>
      </c>
      <c r="S576"/>
    </row>
    <row r="577" spans="1:19" ht="15" customHeight="1">
      <c r="A577" s="9"/>
      <c r="B577" s="9"/>
      <c r="C577" s="1">
        <f>Tabela2[[#This Row],[Data
Pedido]]-Tabela2[[#This Row],[Data Última Aprovação RC]]</f>
        <v>0</v>
      </c>
      <c r="J577" s="1" t="str">
        <f t="shared" ca="1" si="18"/>
        <v/>
      </c>
      <c r="K577" s="11">
        <f>Tabela2[[#This Row],[SLA
Padrão]]-Tabela2[[#This Row],[SLA Atendimento]]</f>
        <v>0</v>
      </c>
      <c r="L577" s="11"/>
      <c r="O577" s="1" t="s">
        <v>30</v>
      </c>
      <c r="P577" s="2">
        <f>Tabela2[[#This Row],[Proposta
 Inicial]]-Tabela2[[#This Row],[Proposta
 Negociada]]</f>
        <v>0</v>
      </c>
      <c r="Q577" s="4" t="e">
        <f>Tabela2[[#This Row],[Proposta
 Negociada]]/Tabela2[[#This Row],[Proposta
 Inicial]]-1</f>
        <v>#DIV/0!</v>
      </c>
      <c r="S577"/>
    </row>
    <row r="578" spans="1:19" ht="15" customHeight="1">
      <c r="A578" s="9"/>
      <c r="B578" s="9"/>
      <c r="C578" s="1">
        <f>Tabela2[[#This Row],[Data
Pedido]]-Tabela2[[#This Row],[Data Última Aprovação RC]]</f>
        <v>0</v>
      </c>
      <c r="J578" s="1" t="str">
        <f t="shared" ca="1" si="18"/>
        <v/>
      </c>
      <c r="K578" s="11">
        <f>Tabela2[[#This Row],[SLA
Padrão]]-Tabela2[[#This Row],[SLA Atendimento]]</f>
        <v>0</v>
      </c>
      <c r="L578" s="11"/>
      <c r="O578" s="1" t="s">
        <v>30</v>
      </c>
      <c r="P578" s="2">
        <f>Tabela2[[#This Row],[Proposta
 Inicial]]-Tabela2[[#This Row],[Proposta
 Negociada]]</f>
        <v>0</v>
      </c>
      <c r="Q578" s="4" t="e">
        <f>Tabela2[[#This Row],[Proposta
 Negociada]]/Tabela2[[#This Row],[Proposta
 Inicial]]-1</f>
        <v>#DIV/0!</v>
      </c>
      <c r="S578"/>
    </row>
    <row r="579" spans="1:19" ht="15" customHeight="1">
      <c r="A579" s="9"/>
      <c r="B579" s="9"/>
      <c r="C579" s="1">
        <f>Tabela2[[#This Row],[Data
Pedido]]-Tabela2[[#This Row],[Data Última Aprovação RC]]</f>
        <v>0</v>
      </c>
      <c r="J579" s="1" t="str">
        <f t="shared" ca="1" si="18"/>
        <v/>
      </c>
      <c r="K579" s="11">
        <f>Tabela2[[#This Row],[SLA
Padrão]]-Tabela2[[#This Row],[SLA Atendimento]]</f>
        <v>0</v>
      </c>
      <c r="L579" s="11"/>
      <c r="O579" s="1" t="s">
        <v>30</v>
      </c>
      <c r="P579" s="2">
        <f>Tabela2[[#This Row],[Proposta
 Inicial]]-Tabela2[[#This Row],[Proposta
 Negociada]]</f>
        <v>0</v>
      </c>
      <c r="Q579" s="4" t="e">
        <f>Tabela2[[#This Row],[Proposta
 Negociada]]/Tabela2[[#This Row],[Proposta
 Inicial]]-1</f>
        <v>#DIV/0!</v>
      </c>
      <c r="S579"/>
    </row>
    <row r="580" spans="1:19" ht="15" customHeight="1">
      <c r="A580" s="9"/>
      <c r="B580" s="9"/>
      <c r="C580" s="1">
        <f>Tabela2[[#This Row],[Data
Pedido]]-Tabela2[[#This Row],[Data Última Aprovação RC]]</f>
        <v>0</v>
      </c>
      <c r="J580" s="1" t="str">
        <f t="shared" ca="1" si="18"/>
        <v/>
      </c>
      <c r="K580" s="11">
        <f>Tabela2[[#This Row],[SLA
Padrão]]-Tabela2[[#This Row],[SLA Atendimento]]</f>
        <v>0</v>
      </c>
      <c r="L580" s="11"/>
      <c r="O580" s="1" t="s">
        <v>30</v>
      </c>
      <c r="P580" s="2">
        <f>Tabela2[[#This Row],[Proposta
 Inicial]]-Tabela2[[#This Row],[Proposta
 Negociada]]</f>
        <v>0</v>
      </c>
      <c r="Q580" s="4" t="e">
        <f>Tabela2[[#This Row],[Proposta
 Negociada]]/Tabela2[[#This Row],[Proposta
 Inicial]]-1</f>
        <v>#DIV/0!</v>
      </c>
      <c r="S580"/>
    </row>
    <row r="581" spans="1:19" ht="15" customHeight="1">
      <c r="A581" s="9"/>
      <c r="B581" s="9"/>
      <c r="C581" s="1">
        <f>Tabela2[[#This Row],[Data
Pedido]]-Tabela2[[#This Row],[Data Última Aprovação RC]]</f>
        <v>0</v>
      </c>
      <c r="J581" s="1" t="str">
        <f t="shared" ca="1" si="18"/>
        <v/>
      </c>
      <c r="K581" s="11">
        <f>Tabela2[[#This Row],[SLA
Padrão]]-Tabela2[[#This Row],[SLA Atendimento]]</f>
        <v>0</v>
      </c>
      <c r="L581" s="11"/>
      <c r="O581" s="1" t="s">
        <v>30</v>
      </c>
      <c r="P581" s="2">
        <f>Tabela2[[#This Row],[Proposta
 Inicial]]-Tabela2[[#This Row],[Proposta
 Negociada]]</f>
        <v>0</v>
      </c>
      <c r="Q581" s="4" t="e">
        <f>Tabela2[[#This Row],[Proposta
 Negociada]]/Tabela2[[#This Row],[Proposta
 Inicial]]-1</f>
        <v>#DIV/0!</v>
      </c>
      <c r="S581"/>
    </row>
    <row r="582" spans="1:19" ht="15" customHeight="1">
      <c r="A582" s="9"/>
      <c r="B582" s="9"/>
      <c r="C582" s="1">
        <f>Tabela2[[#This Row],[Data
Pedido]]-Tabela2[[#This Row],[Data Última Aprovação RC]]</f>
        <v>0</v>
      </c>
      <c r="J582" s="1" t="str">
        <f t="shared" ca="1" si="18"/>
        <v/>
      </c>
      <c r="K582" s="11">
        <f>Tabela2[[#This Row],[SLA
Padrão]]-Tabela2[[#This Row],[SLA Atendimento]]</f>
        <v>0</v>
      </c>
      <c r="L582" s="11"/>
      <c r="O582" s="1" t="s">
        <v>30</v>
      </c>
      <c r="P582" s="2">
        <f>Tabela2[[#This Row],[Proposta
 Inicial]]-Tabela2[[#This Row],[Proposta
 Negociada]]</f>
        <v>0</v>
      </c>
      <c r="Q582" s="4" t="e">
        <f>Tabela2[[#This Row],[Proposta
 Negociada]]/Tabela2[[#This Row],[Proposta
 Inicial]]-1</f>
        <v>#DIV/0!</v>
      </c>
      <c r="S582"/>
    </row>
    <row r="583" spans="1:19" ht="15" customHeight="1">
      <c r="A583" s="9"/>
      <c r="B583" s="9"/>
      <c r="C583" s="1">
        <f>Tabela2[[#This Row],[Data
Pedido]]-Tabela2[[#This Row],[Data Última Aprovação RC]]</f>
        <v>0</v>
      </c>
      <c r="J583" s="1" t="str">
        <f t="shared" ca="1" si="18"/>
        <v/>
      </c>
      <c r="K583" s="11">
        <f>Tabela2[[#This Row],[SLA
Padrão]]-Tabela2[[#This Row],[SLA Atendimento]]</f>
        <v>0</v>
      </c>
      <c r="L583" s="11"/>
      <c r="O583" s="1" t="s">
        <v>30</v>
      </c>
      <c r="P583" s="2">
        <f>Tabela2[[#This Row],[Proposta
 Inicial]]-Tabela2[[#This Row],[Proposta
 Negociada]]</f>
        <v>0</v>
      </c>
      <c r="Q583" s="4" t="e">
        <f>Tabela2[[#This Row],[Proposta
 Negociada]]/Tabela2[[#This Row],[Proposta
 Inicial]]-1</f>
        <v>#DIV/0!</v>
      </c>
      <c r="S583"/>
    </row>
    <row r="584" spans="1:19" ht="15" customHeight="1">
      <c r="A584" s="9"/>
      <c r="B584" s="9"/>
      <c r="C584" s="1">
        <f>Tabela2[[#This Row],[Data
Pedido]]-Tabela2[[#This Row],[Data Última Aprovação RC]]</f>
        <v>0</v>
      </c>
      <c r="J584" s="1" t="str">
        <f t="shared" ca="1" si="18"/>
        <v/>
      </c>
      <c r="K584" s="11">
        <f>Tabela2[[#This Row],[SLA
Padrão]]-Tabela2[[#This Row],[SLA Atendimento]]</f>
        <v>0</v>
      </c>
      <c r="L584" s="11"/>
      <c r="O584" s="1" t="s">
        <v>30</v>
      </c>
      <c r="P584" s="2">
        <f>Tabela2[[#This Row],[Proposta
 Inicial]]-Tabela2[[#This Row],[Proposta
 Negociada]]</f>
        <v>0</v>
      </c>
      <c r="Q584" s="4" t="e">
        <f>Tabela2[[#This Row],[Proposta
 Negociada]]/Tabela2[[#This Row],[Proposta
 Inicial]]-1</f>
        <v>#DIV/0!</v>
      </c>
      <c r="S584"/>
    </row>
    <row r="585" spans="1:19" ht="15" customHeight="1">
      <c r="A585" s="9"/>
      <c r="B585" s="9"/>
      <c r="C585" s="1">
        <f>Tabela2[[#This Row],[Data
Pedido]]-Tabela2[[#This Row],[Data Última Aprovação RC]]</f>
        <v>0</v>
      </c>
      <c r="J585" s="1" t="str">
        <f t="shared" ca="1" si="18"/>
        <v/>
      </c>
      <c r="K585" s="11">
        <f>Tabela2[[#This Row],[SLA
Padrão]]-Tabela2[[#This Row],[SLA Atendimento]]</f>
        <v>0</v>
      </c>
      <c r="L585" s="11"/>
      <c r="O585" s="1" t="s">
        <v>30</v>
      </c>
      <c r="P585" s="2">
        <f>Tabela2[[#This Row],[Proposta
 Inicial]]-Tabela2[[#This Row],[Proposta
 Negociada]]</f>
        <v>0</v>
      </c>
      <c r="Q585" s="4" t="e">
        <f>Tabela2[[#This Row],[Proposta
 Negociada]]/Tabela2[[#This Row],[Proposta
 Inicial]]-1</f>
        <v>#DIV/0!</v>
      </c>
      <c r="S585"/>
    </row>
    <row r="586" spans="1:19" ht="15" customHeight="1">
      <c r="A586" s="9"/>
      <c r="B586" s="9"/>
      <c r="C586" s="1">
        <f>Tabela2[[#This Row],[Data
Pedido]]-Tabela2[[#This Row],[Data Última Aprovação RC]]</f>
        <v>0</v>
      </c>
      <c r="J586" s="1" t="str">
        <f t="shared" ca="1" si="18"/>
        <v/>
      </c>
      <c r="K586" s="11">
        <f>Tabela2[[#This Row],[SLA
Padrão]]-Tabela2[[#This Row],[SLA Atendimento]]</f>
        <v>0</v>
      </c>
      <c r="L586" s="11"/>
      <c r="O586" s="1" t="s">
        <v>30</v>
      </c>
      <c r="P586" s="2">
        <f>Tabela2[[#This Row],[Proposta
 Inicial]]-Tabela2[[#This Row],[Proposta
 Negociada]]</f>
        <v>0</v>
      </c>
      <c r="Q586" s="4" t="e">
        <f>Tabela2[[#This Row],[Proposta
 Negociada]]/Tabela2[[#This Row],[Proposta
 Inicial]]-1</f>
        <v>#DIV/0!</v>
      </c>
      <c r="S586"/>
    </row>
    <row r="587" spans="1:19" ht="15" customHeight="1">
      <c r="A587" s="9"/>
      <c r="B587" s="9"/>
      <c r="C587" s="1">
        <f>Tabela2[[#This Row],[Data
Pedido]]-Tabela2[[#This Row],[Data Última Aprovação RC]]</f>
        <v>0</v>
      </c>
      <c r="J587" s="1" t="str">
        <f t="shared" ca="1" si="18"/>
        <v/>
      </c>
      <c r="K587" s="11">
        <f>Tabela2[[#This Row],[SLA
Padrão]]-Tabela2[[#This Row],[SLA Atendimento]]</f>
        <v>0</v>
      </c>
      <c r="L587" s="11"/>
      <c r="O587" s="1" t="s">
        <v>30</v>
      </c>
      <c r="P587" s="2">
        <f>Tabela2[[#This Row],[Proposta
 Inicial]]-Tabela2[[#This Row],[Proposta
 Negociada]]</f>
        <v>0</v>
      </c>
      <c r="Q587" s="4" t="e">
        <f>Tabela2[[#This Row],[Proposta
 Negociada]]/Tabela2[[#This Row],[Proposta
 Inicial]]-1</f>
        <v>#DIV/0!</v>
      </c>
      <c r="S587"/>
    </row>
    <row r="588" spans="1:19" ht="15" customHeight="1">
      <c r="A588" s="9"/>
      <c r="B588" s="9"/>
      <c r="C588" s="1">
        <f>Tabela2[[#This Row],[Data
Pedido]]-Tabela2[[#This Row],[Data Última Aprovação RC]]</f>
        <v>0</v>
      </c>
      <c r="J588" s="1" t="str">
        <f t="shared" ca="1" si="18"/>
        <v/>
      </c>
      <c r="K588" s="11">
        <f>Tabela2[[#This Row],[SLA
Padrão]]-Tabela2[[#This Row],[SLA Atendimento]]</f>
        <v>0</v>
      </c>
      <c r="L588" s="11"/>
      <c r="O588" s="1" t="s">
        <v>30</v>
      </c>
      <c r="P588" s="2">
        <f>Tabela2[[#This Row],[Proposta
 Inicial]]-Tabela2[[#This Row],[Proposta
 Negociada]]</f>
        <v>0</v>
      </c>
      <c r="Q588" s="4" t="e">
        <f>Tabela2[[#This Row],[Proposta
 Negociada]]/Tabela2[[#This Row],[Proposta
 Inicial]]-1</f>
        <v>#DIV/0!</v>
      </c>
      <c r="S588"/>
    </row>
    <row r="589" spans="1:19" ht="15" customHeight="1">
      <c r="A589" s="9"/>
      <c r="B589" s="9"/>
      <c r="C589" s="1">
        <f>Tabela2[[#This Row],[Data
Pedido]]-Tabela2[[#This Row],[Data Última Aprovação RC]]</f>
        <v>0</v>
      </c>
      <c r="J589" s="1" t="str">
        <f t="shared" ca="1" si="18"/>
        <v/>
      </c>
      <c r="K589" s="11">
        <f>Tabela2[[#This Row],[SLA
Padrão]]-Tabela2[[#This Row],[SLA Atendimento]]</f>
        <v>0</v>
      </c>
      <c r="L589" s="11"/>
      <c r="O589" s="1" t="s">
        <v>30</v>
      </c>
      <c r="P589" s="2">
        <f>Tabela2[[#This Row],[Proposta
 Inicial]]-Tabela2[[#This Row],[Proposta
 Negociada]]</f>
        <v>0</v>
      </c>
      <c r="Q589" s="4" t="e">
        <f>Tabela2[[#This Row],[Proposta
 Negociada]]/Tabela2[[#This Row],[Proposta
 Inicial]]-1</f>
        <v>#DIV/0!</v>
      </c>
      <c r="S589"/>
    </row>
    <row r="590" spans="1:19" ht="15" customHeight="1">
      <c r="A590" s="9"/>
      <c r="B590" s="9"/>
      <c r="C590" s="1">
        <f>Tabela2[[#This Row],[Data
Pedido]]-Tabela2[[#This Row],[Data Última Aprovação RC]]</f>
        <v>0</v>
      </c>
      <c r="J590" s="1" t="str">
        <f t="shared" ca="1" si="18"/>
        <v/>
      </c>
      <c r="K590" s="11">
        <f>Tabela2[[#This Row],[SLA
Padrão]]-Tabela2[[#This Row],[SLA Atendimento]]</f>
        <v>0</v>
      </c>
      <c r="L590" s="11"/>
      <c r="O590" s="1" t="s">
        <v>30</v>
      </c>
      <c r="P590" s="2">
        <f>Tabela2[[#This Row],[Proposta
 Inicial]]-Tabela2[[#This Row],[Proposta
 Negociada]]</f>
        <v>0</v>
      </c>
      <c r="Q590" s="4" t="e">
        <f>Tabela2[[#This Row],[Proposta
 Negociada]]/Tabela2[[#This Row],[Proposta
 Inicial]]-1</f>
        <v>#DIV/0!</v>
      </c>
      <c r="S590"/>
    </row>
    <row r="591" spans="1:19" ht="15" customHeight="1">
      <c r="A591" s="9"/>
      <c r="B591" s="9"/>
      <c r="C591" s="1">
        <f>Tabela2[[#This Row],[Data
Pedido]]-Tabela2[[#This Row],[Data Última Aprovação RC]]</f>
        <v>0</v>
      </c>
      <c r="J591" s="1" t="str">
        <f t="shared" ca="1" si="18"/>
        <v/>
      </c>
      <c r="K591" s="11">
        <f>Tabela2[[#This Row],[SLA
Padrão]]-Tabela2[[#This Row],[SLA Atendimento]]</f>
        <v>0</v>
      </c>
      <c r="L591" s="11"/>
      <c r="O591" s="1" t="s">
        <v>30</v>
      </c>
      <c r="P591" s="2">
        <f>Tabela2[[#This Row],[Proposta
 Inicial]]-Tabela2[[#This Row],[Proposta
 Negociada]]</f>
        <v>0</v>
      </c>
      <c r="Q591" s="4" t="e">
        <f>Tabela2[[#This Row],[Proposta
 Negociada]]/Tabela2[[#This Row],[Proposta
 Inicial]]-1</f>
        <v>#DIV/0!</v>
      </c>
      <c r="S591"/>
    </row>
    <row r="592" spans="1:19" ht="15" customHeight="1">
      <c r="A592" s="9"/>
      <c r="B592" s="9"/>
      <c r="C592" s="1">
        <f>Tabela2[[#This Row],[Data
Pedido]]-Tabela2[[#This Row],[Data Última Aprovação RC]]</f>
        <v>0</v>
      </c>
      <c r="J592" s="1" t="str">
        <f t="shared" ca="1" si="18"/>
        <v/>
      </c>
      <c r="K592" s="11">
        <f>Tabela2[[#This Row],[SLA
Padrão]]-Tabela2[[#This Row],[SLA Atendimento]]</f>
        <v>0</v>
      </c>
      <c r="L592" s="11"/>
      <c r="O592" s="1" t="s">
        <v>30</v>
      </c>
      <c r="P592" s="2">
        <f>Tabela2[[#This Row],[Proposta
 Inicial]]-Tabela2[[#This Row],[Proposta
 Negociada]]</f>
        <v>0</v>
      </c>
      <c r="Q592" s="4" t="e">
        <f>Tabela2[[#This Row],[Proposta
 Negociada]]/Tabela2[[#This Row],[Proposta
 Inicial]]-1</f>
        <v>#DIV/0!</v>
      </c>
      <c r="S592"/>
    </row>
    <row r="593" spans="1:19" ht="15" customHeight="1">
      <c r="A593" s="9"/>
      <c r="B593" s="9"/>
      <c r="C593" s="1">
        <f>Tabela2[[#This Row],[Data
Pedido]]-Tabela2[[#This Row],[Data Última Aprovação RC]]</f>
        <v>0</v>
      </c>
      <c r="J593" s="1" t="str">
        <f t="shared" ca="1" si="18"/>
        <v/>
      </c>
      <c r="K593" s="11">
        <f>Tabela2[[#This Row],[SLA
Padrão]]-Tabela2[[#This Row],[SLA Atendimento]]</f>
        <v>0</v>
      </c>
      <c r="L593" s="11"/>
      <c r="O593" s="1" t="s">
        <v>30</v>
      </c>
      <c r="P593" s="2">
        <f>Tabela2[[#This Row],[Proposta
 Inicial]]-Tabela2[[#This Row],[Proposta
 Negociada]]</f>
        <v>0</v>
      </c>
      <c r="Q593" s="4" t="e">
        <f>Tabela2[[#This Row],[Proposta
 Negociada]]/Tabela2[[#This Row],[Proposta
 Inicial]]-1</f>
        <v>#DIV/0!</v>
      </c>
      <c r="S593"/>
    </row>
    <row r="594" spans="1:19" ht="15" customHeight="1">
      <c r="A594" s="9"/>
      <c r="B594" s="9"/>
      <c r="C594" s="1">
        <f>Tabela2[[#This Row],[Data
Pedido]]-Tabela2[[#This Row],[Data Última Aprovação RC]]</f>
        <v>0</v>
      </c>
      <c r="J594" s="1" t="str">
        <f t="shared" ca="1" si="18"/>
        <v/>
      </c>
      <c r="K594" s="11">
        <f>Tabela2[[#This Row],[SLA
Padrão]]-Tabela2[[#This Row],[SLA Atendimento]]</f>
        <v>0</v>
      </c>
      <c r="L594" s="11"/>
      <c r="O594" s="1" t="s">
        <v>30</v>
      </c>
      <c r="P594" s="2">
        <f>Tabela2[[#This Row],[Proposta
 Inicial]]-Tabela2[[#This Row],[Proposta
 Negociada]]</f>
        <v>0</v>
      </c>
      <c r="Q594" s="4" t="e">
        <f>Tabela2[[#This Row],[Proposta
 Negociada]]/Tabela2[[#This Row],[Proposta
 Inicial]]-1</f>
        <v>#DIV/0!</v>
      </c>
      <c r="S594"/>
    </row>
    <row r="595" spans="1:19" ht="15" customHeight="1">
      <c r="A595" s="9"/>
      <c r="B595" s="9"/>
      <c r="C595" s="1">
        <f>Tabela2[[#This Row],[Data
Pedido]]-Tabela2[[#This Row],[Data Última Aprovação RC]]</f>
        <v>0</v>
      </c>
      <c r="J595" s="1" t="str">
        <f t="shared" ca="1" si="18"/>
        <v/>
      </c>
      <c r="K595" s="11">
        <f>Tabela2[[#This Row],[SLA
Padrão]]-Tabela2[[#This Row],[SLA Atendimento]]</f>
        <v>0</v>
      </c>
      <c r="L595" s="11"/>
      <c r="O595" s="1" t="s">
        <v>30</v>
      </c>
      <c r="P595" s="2">
        <f>Tabela2[[#This Row],[Proposta
 Inicial]]-Tabela2[[#This Row],[Proposta
 Negociada]]</f>
        <v>0</v>
      </c>
      <c r="Q595" s="4" t="e">
        <f>Tabela2[[#This Row],[Proposta
 Negociada]]/Tabela2[[#This Row],[Proposta
 Inicial]]-1</f>
        <v>#DIV/0!</v>
      </c>
      <c r="S595"/>
    </row>
    <row r="596" spans="1:19" ht="15" customHeight="1">
      <c r="A596" s="9"/>
      <c r="B596" s="9"/>
      <c r="C596" s="1">
        <f>Tabela2[[#This Row],[Data
Pedido]]-Tabela2[[#This Row],[Data Última Aprovação RC]]</f>
        <v>0</v>
      </c>
      <c r="J596" s="1" t="str">
        <f t="shared" ca="1" si="18"/>
        <v/>
      </c>
      <c r="K596" s="11">
        <f>Tabela2[[#This Row],[SLA
Padrão]]-Tabela2[[#This Row],[SLA Atendimento]]</f>
        <v>0</v>
      </c>
      <c r="L596" s="11"/>
      <c r="O596" s="1" t="s">
        <v>30</v>
      </c>
      <c r="P596" s="2">
        <f>Tabela2[[#This Row],[Proposta
 Inicial]]-Tabela2[[#This Row],[Proposta
 Negociada]]</f>
        <v>0</v>
      </c>
      <c r="Q596" s="4" t="e">
        <f>Tabela2[[#This Row],[Proposta
 Negociada]]/Tabela2[[#This Row],[Proposta
 Inicial]]-1</f>
        <v>#DIV/0!</v>
      </c>
      <c r="S596"/>
    </row>
    <row r="597" spans="1:19" ht="15" customHeight="1">
      <c r="A597" s="9"/>
      <c r="B597" s="9"/>
      <c r="C597" s="1">
        <f>Tabela2[[#This Row],[Data
Pedido]]-Tabela2[[#This Row],[Data Última Aprovação RC]]</f>
        <v>0</v>
      </c>
      <c r="J597" s="1" t="str">
        <f t="shared" ca="1" si="18"/>
        <v/>
      </c>
      <c r="K597" s="11">
        <f>Tabela2[[#This Row],[SLA
Padrão]]-Tabela2[[#This Row],[SLA Atendimento]]</f>
        <v>0</v>
      </c>
      <c r="L597" s="11"/>
      <c r="O597" s="1" t="s">
        <v>30</v>
      </c>
      <c r="P597" s="2">
        <f>Tabela2[[#This Row],[Proposta
 Inicial]]-Tabela2[[#This Row],[Proposta
 Negociada]]</f>
        <v>0</v>
      </c>
      <c r="Q597" s="4" t="e">
        <f>Tabela2[[#This Row],[Proposta
 Negociada]]/Tabela2[[#This Row],[Proposta
 Inicial]]-1</f>
        <v>#DIV/0!</v>
      </c>
      <c r="S597"/>
    </row>
    <row r="598" spans="1:19" ht="15" customHeight="1">
      <c r="A598" s="9"/>
      <c r="B598" s="9"/>
      <c r="C598" s="1">
        <f>Tabela2[[#This Row],[Data
Pedido]]-Tabela2[[#This Row],[Data Última Aprovação RC]]</f>
        <v>0</v>
      </c>
      <c r="J598" s="1" t="str">
        <f t="shared" ca="1" si="18"/>
        <v/>
      </c>
      <c r="K598" s="11">
        <f>Tabela2[[#This Row],[SLA
Padrão]]-Tabela2[[#This Row],[SLA Atendimento]]</f>
        <v>0</v>
      </c>
      <c r="L598" s="11"/>
      <c r="O598" s="1" t="s">
        <v>30</v>
      </c>
      <c r="P598" s="2">
        <f>Tabela2[[#This Row],[Proposta
 Inicial]]-Tabela2[[#This Row],[Proposta
 Negociada]]</f>
        <v>0</v>
      </c>
      <c r="Q598" s="4" t="e">
        <f>Tabela2[[#This Row],[Proposta
 Negociada]]/Tabela2[[#This Row],[Proposta
 Inicial]]-1</f>
        <v>#DIV/0!</v>
      </c>
      <c r="S598"/>
    </row>
    <row r="599" spans="1:19" ht="15" customHeight="1">
      <c r="A599" s="9"/>
      <c r="B599" s="9"/>
      <c r="C599" s="1">
        <f>Tabela2[[#This Row],[Data
Pedido]]-Tabela2[[#This Row],[Data Última Aprovação RC]]</f>
        <v>0</v>
      </c>
      <c r="J599" s="1" t="str">
        <f t="shared" ca="1" si="18"/>
        <v/>
      </c>
      <c r="K599" s="11">
        <f>Tabela2[[#This Row],[SLA
Padrão]]-Tabela2[[#This Row],[SLA Atendimento]]</f>
        <v>0</v>
      </c>
      <c r="L599" s="11"/>
      <c r="O599" s="1" t="s">
        <v>30</v>
      </c>
      <c r="P599" s="2">
        <f>Tabela2[[#This Row],[Proposta
 Inicial]]-Tabela2[[#This Row],[Proposta
 Negociada]]</f>
        <v>0</v>
      </c>
      <c r="Q599" s="4" t="e">
        <f>Tabela2[[#This Row],[Proposta
 Negociada]]/Tabela2[[#This Row],[Proposta
 Inicial]]-1</f>
        <v>#DIV/0!</v>
      </c>
      <c r="S599"/>
    </row>
    <row r="600" spans="1:19" ht="15" customHeight="1">
      <c r="A600" s="9"/>
      <c r="B600" s="9"/>
      <c r="C600" s="1">
        <f>Tabela2[[#This Row],[Data
Pedido]]-Tabela2[[#This Row],[Data Última Aprovação RC]]</f>
        <v>0</v>
      </c>
      <c r="J600" s="1" t="str">
        <f t="shared" ca="1" si="18"/>
        <v/>
      </c>
      <c r="K600" s="11">
        <f>Tabela2[[#This Row],[SLA
Padrão]]-Tabela2[[#This Row],[SLA Atendimento]]</f>
        <v>0</v>
      </c>
      <c r="L600" s="11"/>
      <c r="O600" s="1" t="s">
        <v>30</v>
      </c>
      <c r="P600" s="2">
        <f>Tabela2[[#This Row],[Proposta
 Inicial]]-Tabela2[[#This Row],[Proposta
 Negociada]]</f>
        <v>0</v>
      </c>
      <c r="Q600" s="4" t="e">
        <f>Tabela2[[#This Row],[Proposta
 Negociada]]/Tabela2[[#This Row],[Proposta
 Inicial]]-1</f>
        <v>#DIV/0!</v>
      </c>
      <c r="S600"/>
    </row>
    <row r="601" spans="1:19" ht="15" customHeight="1">
      <c r="A601" s="9"/>
      <c r="B601" s="9"/>
      <c r="C601" s="1">
        <f>Tabela2[[#This Row],[Data
Pedido]]-Tabela2[[#This Row],[Data Última Aprovação RC]]</f>
        <v>0</v>
      </c>
      <c r="J601" s="1" t="str">
        <f t="shared" ca="1" si="18"/>
        <v/>
      </c>
      <c r="K601" s="11">
        <f>Tabela2[[#This Row],[SLA
Padrão]]-Tabela2[[#This Row],[SLA Atendimento]]</f>
        <v>0</v>
      </c>
      <c r="L601" s="11"/>
      <c r="O601" s="1" t="s">
        <v>30</v>
      </c>
      <c r="P601" s="2">
        <f>Tabela2[[#This Row],[Proposta
 Inicial]]-Tabela2[[#This Row],[Proposta
 Negociada]]</f>
        <v>0</v>
      </c>
      <c r="Q601" s="4" t="e">
        <f>Tabela2[[#This Row],[Proposta
 Negociada]]/Tabela2[[#This Row],[Proposta
 Inicial]]-1</f>
        <v>#DIV/0!</v>
      </c>
      <c r="S601"/>
    </row>
    <row r="602" spans="1:19" ht="15" customHeight="1">
      <c r="A602" s="9"/>
      <c r="B602" s="9"/>
      <c r="C602" s="1">
        <f>Tabela2[[#This Row],[Data
Pedido]]-Tabela2[[#This Row],[Data Última Aprovação RC]]</f>
        <v>0</v>
      </c>
      <c r="J602" s="1" t="str">
        <f t="shared" ca="1" si="18"/>
        <v/>
      </c>
      <c r="K602" s="11">
        <f>Tabela2[[#This Row],[SLA
Padrão]]-Tabela2[[#This Row],[SLA Atendimento]]</f>
        <v>0</v>
      </c>
      <c r="L602" s="11"/>
      <c r="O602" s="1" t="s">
        <v>30</v>
      </c>
      <c r="P602" s="2">
        <f>Tabela2[[#This Row],[Proposta
 Inicial]]-Tabela2[[#This Row],[Proposta
 Negociada]]</f>
        <v>0</v>
      </c>
      <c r="Q602" s="4" t="e">
        <f>Tabela2[[#This Row],[Proposta
 Negociada]]/Tabela2[[#This Row],[Proposta
 Inicial]]-1</f>
        <v>#DIV/0!</v>
      </c>
      <c r="S602"/>
    </row>
    <row r="603" spans="1:19" ht="15" customHeight="1">
      <c r="A603" s="9"/>
      <c r="B603" s="9"/>
      <c r="C603" s="1">
        <f>Tabela2[[#This Row],[Data
Pedido]]-Tabela2[[#This Row],[Data Última Aprovação RC]]</f>
        <v>0</v>
      </c>
      <c r="J603" s="1" t="str">
        <f t="shared" ca="1" si="18"/>
        <v/>
      </c>
      <c r="K603" s="11">
        <f>Tabela2[[#This Row],[SLA
Padrão]]-Tabela2[[#This Row],[SLA Atendimento]]</f>
        <v>0</v>
      </c>
      <c r="L603" s="11"/>
      <c r="O603" s="1" t="s">
        <v>30</v>
      </c>
      <c r="P603" s="2">
        <f>Tabela2[[#This Row],[Proposta
 Inicial]]-Tabela2[[#This Row],[Proposta
 Negociada]]</f>
        <v>0</v>
      </c>
      <c r="Q603" s="4" t="e">
        <f>Tabela2[[#This Row],[Proposta
 Negociada]]/Tabela2[[#This Row],[Proposta
 Inicial]]-1</f>
        <v>#DIV/0!</v>
      </c>
      <c r="S603"/>
    </row>
    <row r="604" spans="1:19" ht="15" customHeight="1">
      <c r="A604" s="9"/>
      <c r="B604" s="9"/>
      <c r="C604" s="1">
        <f>Tabela2[[#This Row],[Data
Pedido]]-Tabela2[[#This Row],[Data Última Aprovação RC]]</f>
        <v>0</v>
      </c>
      <c r="J604" s="1" t="str">
        <f t="shared" ca="1" si="18"/>
        <v/>
      </c>
      <c r="K604" s="11">
        <f>Tabela2[[#This Row],[SLA
Padrão]]-Tabela2[[#This Row],[SLA Atendimento]]</f>
        <v>0</v>
      </c>
      <c r="L604" s="11"/>
      <c r="O604" s="1" t="s">
        <v>30</v>
      </c>
      <c r="P604" s="2">
        <f>Tabela2[[#This Row],[Proposta
 Inicial]]-Tabela2[[#This Row],[Proposta
 Negociada]]</f>
        <v>0</v>
      </c>
      <c r="Q604" s="4" t="e">
        <f>Tabela2[[#This Row],[Proposta
 Negociada]]/Tabela2[[#This Row],[Proposta
 Inicial]]-1</f>
        <v>#DIV/0!</v>
      </c>
      <c r="S604"/>
    </row>
    <row r="605" spans="1:19" ht="15" customHeight="1">
      <c r="A605" s="9"/>
      <c r="B605" s="9"/>
      <c r="C605" s="1">
        <f>Tabela2[[#This Row],[Data
Pedido]]-Tabela2[[#This Row],[Data Última Aprovação RC]]</f>
        <v>0</v>
      </c>
      <c r="J605" s="1" t="str">
        <f t="shared" ca="1" si="18"/>
        <v/>
      </c>
      <c r="K605" s="11">
        <f>Tabela2[[#This Row],[SLA
Padrão]]-Tabela2[[#This Row],[SLA Atendimento]]</f>
        <v>0</v>
      </c>
      <c r="L605" s="11"/>
      <c r="O605" s="1" t="s">
        <v>30</v>
      </c>
      <c r="P605" s="2">
        <f>Tabela2[[#This Row],[Proposta
 Inicial]]-Tabela2[[#This Row],[Proposta
 Negociada]]</f>
        <v>0</v>
      </c>
      <c r="Q605" s="4" t="e">
        <f>Tabela2[[#This Row],[Proposta
 Negociada]]/Tabela2[[#This Row],[Proposta
 Inicial]]-1</f>
        <v>#DIV/0!</v>
      </c>
      <c r="S605"/>
    </row>
    <row r="606" spans="1:19" ht="15" customHeight="1">
      <c r="A606" s="9"/>
      <c r="B606" s="9"/>
      <c r="C606" s="1">
        <f>Tabela2[[#This Row],[Data
Pedido]]-Tabela2[[#This Row],[Data Última Aprovação RC]]</f>
        <v>0</v>
      </c>
      <c r="J606" s="1" t="str">
        <f t="shared" ca="1" si="18"/>
        <v/>
      </c>
      <c r="K606" s="11">
        <f>Tabela2[[#This Row],[SLA
Padrão]]-Tabela2[[#This Row],[SLA Atendimento]]</f>
        <v>0</v>
      </c>
      <c r="L606" s="11"/>
      <c r="O606" s="1" t="s">
        <v>30</v>
      </c>
      <c r="P606" s="2">
        <f>Tabela2[[#This Row],[Proposta
 Inicial]]-Tabela2[[#This Row],[Proposta
 Negociada]]</f>
        <v>0</v>
      </c>
      <c r="Q606" s="4" t="e">
        <f>Tabela2[[#This Row],[Proposta
 Negociada]]/Tabela2[[#This Row],[Proposta
 Inicial]]-1</f>
        <v>#DIV/0!</v>
      </c>
      <c r="S606"/>
    </row>
    <row r="607" spans="1:19" ht="15" customHeight="1">
      <c r="A607" s="9"/>
      <c r="B607" s="9"/>
      <c r="C607" s="1">
        <f>Tabela2[[#This Row],[Data
Pedido]]-Tabela2[[#This Row],[Data Última Aprovação RC]]</f>
        <v>0</v>
      </c>
      <c r="J607" s="1" t="str">
        <f t="shared" ca="1" si="18"/>
        <v/>
      </c>
      <c r="K607" s="11">
        <f>Tabela2[[#This Row],[SLA
Padrão]]-Tabela2[[#This Row],[SLA Atendimento]]</f>
        <v>0</v>
      </c>
      <c r="L607" s="11"/>
      <c r="O607" s="1" t="s">
        <v>30</v>
      </c>
      <c r="P607" s="2">
        <f>Tabela2[[#This Row],[Proposta
 Inicial]]-Tabela2[[#This Row],[Proposta
 Negociada]]</f>
        <v>0</v>
      </c>
      <c r="Q607" s="4" t="e">
        <f>Tabela2[[#This Row],[Proposta
 Negociada]]/Tabela2[[#This Row],[Proposta
 Inicial]]-1</f>
        <v>#DIV/0!</v>
      </c>
      <c r="S607"/>
    </row>
    <row r="608" spans="1:19" ht="15" customHeight="1">
      <c r="A608" s="9"/>
      <c r="B608" s="9"/>
      <c r="C608" s="1">
        <f>Tabela2[[#This Row],[Data
Pedido]]-Tabela2[[#This Row],[Data Última Aprovação RC]]</f>
        <v>0</v>
      </c>
      <c r="J608" s="1" t="str">
        <f t="shared" ca="1" si="18"/>
        <v/>
      </c>
      <c r="K608" s="11">
        <f>Tabela2[[#This Row],[SLA
Padrão]]-Tabela2[[#This Row],[SLA Atendimento]]</f>
        <v>0</v>
      </c>
      <c r="L608" s="11"/>
      <c r="O608" s="1" t="s">
        <v>30</v>
      </c>
      <c r="P608" s="2">
        <f>Tabela2[[#This Row],[Proposta
 Inicial]]-Tabela2[[#This Row],[Proposta
 Negociada]]</f>
        <v>0</v>
      </c>
      <c r="Q608" s="4" t="e">
        <f>Tabela2[[#This Row],[Proposta
 Negociada]]/Tabela2[[#This Row],[Proposta
 Inicial]]-1</f>
        <v>#DIV/0!</v>
      </c>
      <c r="S608"/>
    </row>
    <row r="609" spans="1:19" ht="15" customHeight="1">
      <c r="A609" s="9"/>
      <c r="B609" s="9"/>
      <c r="C609" s="1">
        <f>Tabela2[[#This Row],[Data
Pedido]]-Tabela2[[#This Row],[Data Última Aprovação RC]]</f>
        <v>0</v>
      </c>
      <c r="J609" s="1" t="str">
        <f t="shared" ca="1" si="18"/>
        <v/>
      </c>
      <c r="K609" s="11">
        <f>Tabela2[[#This Row],[SLA
Padrão]]-Tabela2[[#This Row],[SLA Atendimento]]</f>
        <v>0</v>
      </c>
      <c r="L609" s="11"/>
      <c r="O609" s="1" t="s">
        <v>30</v>
      </c>
      <c r="P609" s="2">
        <f>Tabela2[[#This Row],[Proposta
 Inicial]]-Tabela2[[#This Row],[Proposta
 Negociada]]</f>
        <v>0</v>
      </c>
      <c r="Q609" s="4" t="e">
        <f>Tabela2[[#This Row],[Proposta
 Negociada]]/Tabela2[[#This Row],[Proposta
 Inicial]]-1</f>
        <v>#DIV/0!</v>
      </c>
      <c r="S609"/>
    </row>
    <row r="610" spans="1:19" ht="15" customHeight="1">
      <c r="A610" s="9"/>
      <c r="B610" s="9"/>
      <c r="C610" s="1">
        <f>Tabela2[[#This Row],[Data
Pedido]]-Tabela2[[#This Row],[Data Última Aprovação RC]]</f>
        <v>0</v>
      </c>
      <c r="J610" s="1" t="str">
        <f t="shared" ca="1" si="18"/>
        <v/>
      </c>
      <c r="K610" s="11">
        <f>Tabela2[[#This Row],[SLA
Padrão]]-Tabela2[[#This Row],[SLA Atendimento]]</f>
        <v>0</v>
      </c>
      <c r="L610" s="11"/>
      <c r="O610" s="1" t="s">
        <v>30</v>
      </c>
      <c r="P610" s="2">
        <f>Tabela2[[#This Row],[Proposta
 Inicial]]-Tabela2[[#This Row],[Proposta
 Negociada]]</f>
        <v>0</v>
      </c>
      <c r="Q610" s="4" t="e">
        <f>Tabela2[[#This Row],[Proposta
 Negociada]]/Tabela2[[#This Row],[Proposta
 Inicial]]-1</f>
        <v>#DIV/0!</v>
      </c>
      <c r="S610"/>
    </row>
    <row r="611" spans="1:19" ht="15" customHeight="1">
      <c r="A611" s="9"/>
      <c r="B611" s="9"/>
      <c r="C611" s="1">
        <f>Tabela2[[#This Row],[Data
Pedido]]-Tabela2[[#This Row],[Data Última Aprovação RC]]</f>
        <v>0</v>
      </c>
      <c r="J611" s="1" t="str">
        <f t="shared" ca="1" si="18"/>
        <v/>
      </c>
      <c r="K611" s="11">
        <f>Tabela2[[#This Row],[SLA
Padrão]]-Tabela2[[#This Row],[SLA Atendimento]]</f>
        <v>0</v>
      </c>
      <c r="L611" s="11"/>
      <c r="O611" s="1" t="s">
        <v>30</v>
      </c>
      <c r="P611" s="2">
        <f>Tabela2[[#This Row],[Proposta
 Inicial]]-Tabela2[[#This Row],[Proposta
 Negociada]]</f>
        <v>0</v>
      </c>
      <c r="Q611" s="4" t="e">
        <f>Tabela2[[#This Row],[Proposta
 Negociada]]/Tabela2[[#This Row],[Proposta
 Inicial]]-1</f>
        <v>#DIV/0!</v>
      </c>
      <c r="S611"/>
    </row>
    <row r="612" spans="1:19" ht="15" customHeight="1">
      <c r="A612" s="9"/>
      <c r="B612" s="9"/>
      <c r="C612" s="1">
        <f>Tabela2[[#This Row],[Data
Pedido]]-Tabela2[[#This Row],[Data Última Aprovação RC]]</f>
        <v>0</v>
      </c>
      <c r="J612" s="1" t="str">
        <f t="shared" ca="1" si="18"/>
        <v/>
      </c>
      <c r="K612" s="11">
        <f>Tabela2[[#This Row],[SLA
Padrão]]-Tabela2[[#This Row],[SLA Atendimento]]</f>
        <v>0</v>
      </c>
      <c r="L612" s="11"/>
      <c r="O612" s="1" t="s">
        <v>30</v>
      </c>
      <c r="P612" s="2">
        <f>Tabela2[[#This Row],[Proposta
 Inicial]]-Tabela2[[#This Row],[Proposta
 Negociada]]</f>
        <v>0</v>
      </c>
      <c r="Q612" s="4" t="e">
        <f>Tabela2[[#This Row],[Proposta
 Negociada]]/Tabela2[[#This Row],[Proposta
 Inicial]]-1</f>
        <v>#DIV/0!</v>
      </c>
      <c r="S612"/>
    </row>
    <row r="613" spans="1:19" ht="15" customHeight="1">
      <c r="A613" s="9"/>
      <c r="B613" s="9"/>
      <c r="C613" s="1">
        <f>Tabela2[[#This Row],[Data
Pedido]]-Tabela2[[#This Row],[Data Última Aprovação RC]]</f>
        <v>0</v>
      </c>
      <c r="J613" s="1" t="str">
        <f t="shared" ca="1" si="18"/>
        <v/>
      </c>
      <c r="K613" s="11">
        <f>Tabela2[[#This Row],[SLA
Padrão]]-Tabela2[[#This Row],[SLA Atendimento]]</f>
        <v>0</v>
      </c>
      <c r="L613" s="11"/>
      <c r="O613" s="1" t="s">
        <v>30</v>
      </c>
      <c r="P613" s="2">
        <f>Tabela2[[#This Row],[Proposta
 Inicial]]-Tabela2[[#This Row],[Proposta
 Negociada]]</f>
        <v>0</v>
      </c>
      <c r="Q613" s="4" t="e">
        <f>Tabela2[[#This Row],[Proposta
 Negociada]]/Tabela2[[#This Row],[Proposta
 Inicial]]-1</f>
        <v>#DIV/0!</v>
      </c>
      <c r="S613"/>
    </row>
    <row r="614" spans="1:19" ht="15" customHeight="1">
      <c r="A614" s="9"/>
      <c r="B614" s="9"/>
      <c r="C614" s="1">
        <f>Tabela2[[#This Row],[Data
Pedido]]-Tabela2[[#This Row],[Data Última Aprovação RC]]</f>
        <v>0</v>
      </c>
      <c r="J614" s="1" t="str">
        <f t="shared" ca="1" si="18"/>
        <v/>
      </c>
      <c r="K614" s="11">
        <f>Tabela2[[#This Row],[SLA
Padrão]]-Tabela2[[#This Row],[SLA Atendimento]]</f>
        <v>0</v>
      </c>
      <c r="L614" s="11"/>
      <c r="O614" s="1" t="s">
        <v>30</v>
      </c>
      <c r="P614" s="2">
        <f>Tabela2[[#This Row],[Proposta
 Inicial]]-Tabela2[[#This Row],[Proposta
 Negociada]]</f>
        <v>0</v>
      </c>
      <c r="Q614" s="4" t="e">
        <f>Tabela2[[#This Row],[Proposta
 Negociada]]/Tabela2[[#This Row],[Proposta
 Inicial]]-1</f>
        <v>#DIV/0!</v>
      </c>
      <c r="S614"/>
    </row>
    <row r="615" spans="1:19" ht="15" customHeight="1">
      <c r="A615" s="9"/>
      <c r="B615" s="9"/>
      <c r="C615" s="1">
        <f>Tabela2[[#This Row],[Data
Pedido]]-Tabela2[[#This Row],[Data Última Aprovação RC]]</f>
        <v>0</v>
      </c>
      <c r="J615" s="1" t="str">
        <f t="shared" ca="1" si="18"/>
        <v/>
      </c>
      <c r="K615" s="11">
        <f>Tabela2[[#This Row],[SLA
Padrão]]-Tabela2[[#This Row],[SLA Atendimento]]</f>
        <v>0</v>
      </c>
      <c r="L615" s="11"/>
      <c r="O615" s="1" t="s">
        <v>30</v>
      </c>
      <c r="P615" s="2">
        <f>Tabela2[[#This Row],[Proposta
 Inicial]]-Tabela2[[#This Row],[Proposta
 Negociada]]</f>
        <v>0</v>
      </c>
      <c r="Q615" s="4" t="e">
        <f>Tabela2[[#This Row],[Proposta
 Negociada]]/Tabela2[[#This Row],[Proposta
 Inicial]]-1</f>
        <v>#DIV/0!</v>
      </c>
      <c r="S615"/>
    </row>
    <row r="616" spans="1:19" ht="15" customHeight="1">
      <c r="A616" s="9"/>
      <c r="B616" s="9"/>
      <c r="C616" s="1">
        <f>Tabela2[[#This Row],[Data
Pedido]]-Tabela2[[#This Row],[Data Última Aprovação RC]]</f>
        <v>0</v>
      </c>
      <c r="J616" s="1" t="str">
        <f t="shared" ca="1" si="18"/>
        <v/>
      </c>
      <c r="K616" s="11">
        <f>Tabela2[[#This Row],[SLA
Padrão]]-Tabela2[[#This Row],[SLA Atendimento]]</f>
        <v>0</v>
      </c>
      <c r="L616" s="11"/>
      <c r="O616" s="1" t="s">
        <v>30</v>
      </c>
      <c r="P616" s="2">
        <f>Tabela2[[#This Row],[Proposta
 Inicial]]-Tabela2[[#This Row],[Proposta
 Negociada]]</f>
        <v>0</v>
      </c>
      <c r="Q616" s="4" t="e">
        <f>Tabela2[[#This Row],[Proposta
 Negociada]]/Tabela2[[#This Row],[Proposta
 Inicial]]-1</f>
        <v>#DIV/0!</v>
      </c>
      <c r="S616"/>
    </row>
    <row r="617" spans="1:19" ht="15" customHeight="1">
      <c r="A617" s="9"/>
      <c r="B617" s="9"/>
      <c r="C617" s="1">
        <f>Tabela2[[#This Row],[Data
Pedido]]-Tabela2[[#This Row],[Data Última Aprovação RC]]</f>
        <v>0</v>
      </c>
      <c r="J617" s="1" t="str">
        <f t="shared" ca="1" si="18"/>
        <v/>
      </c>
      <c r="K617" s="11">
        <f>Tabela2[[#This Row],[SLA
Padrão]]-Tabela2[[#This Row],[SLA Atendimento]]</f>
        <v>0</v>
      </c>
      <c r="L617" s="11"/>
      <c r="O617" s="1" t="s">
        <v>30</v>
      </c>
      <c r="P617" s="2">
        <f>Tabela2[[#This Row],[Proposta
 Inicial]]-Tabela2[[#This Row],[Proposta
 Negociada]]</f>
        <v>0</v>
      </c>
      <c r="Q617" s="4" t="e">
        <f>Tabela2[[#This Row],[Proposta
 Negociada]]/Tabela2[[#This Row],[Proposta
 Inicial]]-1</f>
        <v>#DIV/0!</v>
      </c>
      <c r="S617"/>
    </row>
    <row r="618" spans="1:19" ht="15" customHeight="1">
      <c r="A618" s="9"/>
      <c r="B618" s="9"/>
      <c r="C618" s="1">
        <f>Tabela2[[#This Row],[Data
Pedido]]-Tabela2[[#This Row],[Data Última Aprovação RC]]</f>
        <v>0</v>
      </c>
      <c r="J618" s="1" t="str">
        <f t="shared" ca="1" si="18"/>
        <v/>
      </c>
      <c r="K618" s="11">
        <f>Tabela2[[#This Row],[SLA
Padrão]]-Tabela2[[#This Row],[SLA Atendimento]]</f>
        <v>0</v>
      </c>
      <c r="L618" s="11"/>
      <c r="O618" s="1" t="s">
        <v>30</v>
      </c>
      <c r="P618" s="2">
        <f>Tabela2[[#This Row],[Proposta
 Inicial]]-Tabela2[[#This Row],[Proposta
 Negociada]]</f>
        <v>0</v>
      </c>
      <c r="Q618" s="4" t="e">
        <f>Tabela2[[#This Row],[Proposta
 Negociada]]/Tabela2[[#This Row],[Proposta
 Inicial]]-1</f>
        <v>#DIV/0!</v>
      </c>
      <c r="S618"/>
    </row>
    <row r="619" spans="1:19" ht="15" customHeight="1">
      <c r="A619" s="9"/>
      <c r="B619" s="9"/>
      <c r="C619" s="1">
        <f>Tabela2[[#This Row],[Data
Pedido]]-Tabela2[[#This Row],[Data Última Aprovação RC]]</f>
        <v>0</v>
      </c>
      <c r="J619" s="1" t="str">
        <f t="shared" ref="J619:J682" ca="1" si="19">IF(A619="","",IF(B619="",IF(TODAY()-A619&gt;I619,"ATRASADA","EM ANDAMENTO"),IF(B619-A619&gt;I619,"ATRASADA","NO PRAZO")))</f>
        <v/>
      </c>
      <c r="K619" s="11">
        <f>Tabela2[[#This Row],[SLA
Padrão]]-Tabela2[[#This Row],[SLA Atendimento]]</f>
        <v>0</v>
      </c>
      <c r="L619" s="11"/>
      <c r="O619" s="1" t="s">
        <v>30</v>
      </c>
      <c r="P619" s="2">
        <f>Tabela2[[#This Row],[Proposta
 Inicial]]-Tabela2[[#This Row],[Proposta
 Negociada]]</f>
        <v>0</v>
      </c>
      <c r="Q619" s="4" t="e">
        <f>Tabela2[[#This Row],[Proposta
 Negociada]]/Tabela2[[#This Row],[Proposta
 Inicial]]-1</f>
        <v>#DIV/0!</v>
      </c>
      <c r="S619"/>
    </row>
    <row r="620" spans="1:19" ht="15" customHeight="1">
      <c r="A620" s="9"/>
      <c r="B620" s="9"/>
      <c r="C620" s="1">
        <f>Tabela2[[#This Row],[Data
Pedido]]-Tabela2[[#This Row],[Data Última Aprovação RC]]</f>
        <v>0</v>
      </c>
      <c r="J620" s="1" t="str">
        <f t="shared" ca="1" si="19"/>
        <v/>
      </c>
      <c r="K620" s="11">
        <f>Tabela2[[#This Row],[SLA
Padrão]]-Tabela2[[#This Row],[SLA Atendimento]]</f>
        <v>0</v>
      </c>
      <c r="L620" s="11"/>
      <c r="O620" s="1" t="s">
        <v>30</v>
      </c>
      <c r="P620" s="2">
        <f>Tabela2[[#This Row],[Proposta
 Inicial]]-Tabela2[[#This Row],[Proposta
 Negociada]]</f>
        <v>0</v>
      </c>
      <c r="Q620" s="4" t="e">
        <f>Tabela2[[#This Row],[Proposta
 Negociada]]/Tabela2[[#This Row],[Proposta
 Inicial]]-1</f>
        <v>#DIV/0!</v>
      </c>
      <c r="S620"/>
    </row>
    <row r="621" spans="1:19" ht="15" customHeight="1">
      <c r="A621" s="9"/>
      <c r="B621" s="9"/>
      <c r="C621" s="1">
        <f>Tabela2[[#This Row],[Data
Pedido]]-Tabela2[[#This Row],[Data Última Aprovação RC]]</f>
        <v>0</v>
      </c>
      <c r="J621" s="1" t="str">
        <f t="shared" ca="1" si="19"/>
        <v/>
      </c>
      <c r="K621" s="11">
        <f>Tabela2[[#This Row],[SLA
Padrão]]-Tabela2[[#This Row],[SLA Atendimento]]</f>
        <v>0</v>
      </c>
      <c r="L621" s="11"/>
      <c r="O621" s="1" t="s">
        <v>30</v>
      </c>
      <c r="P621" s="2">
        <f>Tabela2[[#This Row],[Proposta
 Inicial]]-Tabela2[[#This Row],[Proposta
 Negociada]]</f>
        <v>0</v>
      </c>
      <c r="Q621" s="4" t="e">
        <f>Tabela2[[#This Row],[Proposta
 Negociada]]/Tabela2[[#This Row],[Proposta
 Inicial]]-1</f>
        <v>#DIV/0!</v>
      </c>
      <c r="S621"/>
    </row>
    <row r="622" spans="1:19" ht="15" customHeight="1">
      <c r="A622" s="9"/>
      <c r="B622" s="9"/>
      <c r="C622" s="1">
        <f>Tabela2[[#This Row],[Data
Pedido]]-Tabela2[[#This Row],[Data Última Aprovação RC]]</f>
        <v>0</v>
      </c>
      <c r="J622" s="1" t="str">
        <f t="shared" ca="1" si="19"/>
        <v/>
      </c>
      <c r="K622" s="11">
        <f>Tabela2[[#This Row],[SLA
Padrão]]-Tabela2[[#This Row],[SLA Atendimento]]</f>
        <v>0</v>
      </c>
      <c r="L622" s="11"/>
      <c r="O622" s="1" t="s">
        <v>30</v>
      </c>
      <c r="P622" s="2">
        <f>Tabela2[[#This Row],[Proposta
 Inicial]]-Tabela2[[#This Row],[Proposta
 Negociada]]</f>
        <v>0</v>
      </c>
      <c r="Q622" s="4" t="e">
        <f>Tabela2[[#This Row],[Proposta
 Negociada]]/Tabela2[[#This Row],[Proposta
 Inicial]]-1</f>
        <v>#DIV/0!</v>
      </c>
      <c r="S622"/>
    </row>
    <row r="623" spans="1:19" ht="15" customHeight="1">
      <c r="A623" s="9"/>
      <c r="B623" s="9"/>
      <c r="C623" s="1">
        <f>Tabela2[[#This Row],[Data
Pedido]]-Tabela2[[#This Row],[Data Última Aprovação RC]]</f>
        <v>0</v>
      </c>
      <c r="J623" s="1" t="str">
        <f t="shared" ca="1" si="19"/>
        <v/>
      </c>
      <c r="K623" s="11">
        <f>Tabela2[[#This Row],[SLA
Padrão]]-Tabela2[[#This Row],[SLA Atendimento]]</f>
        <v>0</v>
      </c>
      <c r="L623" s="11"/>
      <c r="O623" s="1" t="s">
        <v>30</v>
      </c>
      <c r="P623" s="2">
        <f>Tabela2[[#This Row],[Proposta
 Inicial]]-Tabela2[[#This Row],[Proposta
 Negociada]]</f>
        <v>0</v>
      </c>
      <c r="Q623" s="4" t="e">
        <f>Tabela2[[#This Row],[Proposta
 Negociada]]/Tabela2[[#This Row],[Proposta
 Inicial]]-1</f>
        <v>#DIV/0!</v>
      </c>
      <c r="S623"/>
    </row>
    <row r="624" spans="1:19" ht="15" customHeight="1">
      <c r="A624" s="9"/>
      <c r="B624" s="9"/>
      <c r="C624" s="1">
        <f>Tabela2[[#This Row],[Data
Pedido]]-Tabela2[[#This Row],[Data Última Aprovação RC]]</f>
        <v>0</v>
      </c>
      <c r="J624" s="1" t="str">
        <f t="shared" ca="1" si="19"/>
        <v/>
      </c>
      <c r="K624" s="11">
        <f>Tabela2[[#This Row],[SLA
Padrão]]-Tabela2[[#This Row],[SLA Atendimento]]</f>
        <v>0</v>
      </c>
      <c r="L624" s="11"/>
      <c r="O624" s="1" t="s">
        <v>30</v>
      </c>
      <c r="P624" s="2">
        <f>Tabela2[[#This Row],[Proposta
 Inicial]]-Tabela2[[#This Row],[Proposta
 Negociada]]</f>
        <v>0</v>
      </c>
      <c r="Q624" s="4" t="e">
        <f>Tabela2[[#This Row],[Proposta
 Negociada]]/Tabela2[[#This Row],[Proposta
 Inicial]]-1</f>
        <v>#DIV/0!</v>
      </c>
      <c r="S624"/>
    </row>
    <row r="625" spans="1:19" ht="15" customHeight="1">
      <c r="A625" s="9"/>
      <c r="B625" s="9"/>
      <c r="C625" s="1">
        <f>Tabela2[[#This Row],[Data
Pedido]]-Tabela2[[#This Row],[Data Última Aprovação RC]]</f>
        <v>0</v>
      </c>
      <c r="J625" s="1" t="str">
        <f t="shared" ca="1" si="19"/>
        <v/>
      </c>
      <c r="K625" s="11">
        <f>Tabela2[[#This Row],[SLA
Padrão]]-Tabela2[[#This Row],[SLA Atendimento]]</f>
        <v>0</v>
      </c>
      <c r="L625" s="11"/>
      <c r="O625" s="1" t="s">
        <v>30</v>
      </c>
      <c r="P625" s="2">
        <f>Tabela2[[#This Row],[Proposta
 Inicial]]-Tabela2[[#This Row],[Proposta
 Negociada]]</f>
        <v>0</v>
      </c>
      <c r="Q625" s="4" t="e">
        <f>Tabela2[[#This Row],[Proposta
 Negociada]]/Tabela2[[#This Row],[Proposta
 Inicial]]-1</f>
        <v>#DIV/0!</v>
      </c>
      <c r="S625"/>
    </row>
    <row r="626" spans="1:19" ht="15" customHeight="1">
      <c r="A626" s="9"/>
      <c r="B626" s="9"/>
      <c r="C626" s="1">
        <f>Tabela2[[#This Row],[Data
Pedido]]-Tabela2[[#This Row],[Data Última Aprovação RC]]</f>
        <v>0</v>
      </c>
      <c r="J626" s="1" t="str">
        <f t="shared" ca="1" si="19"/>
        <v/>
      </c>
      <c r="K626" s="11">
        <f>Tabela2[[#This Row],[SLA
Padrão]]-Tabela2[[#This Row],[SLA Atendimento]]</f>
        <v>0</v>
      </c>
      <c r="L626" s="11"/>
      <c r="O626" s="1" t="s">
        <v>30</v>
      </c>
      <c r="P626" s="2">
        <f>Tabela2[[#This Row],[Proposta
 Inicial]]-Tabela2[[#This Row],[Proposta
 Negociada]]</f>
        <v>0</v>
      </c>
      <c r="Q626" s="4" t="e">
        <f>Tabela2[[#This Row],[Proposta
 Negociada]]/Tabela2[[#This Row],[Proposta
 Inicial]]-1</f>
        <v>#DIV/0!</v>
      </c>
      <c r="S626"/>
    </row>
    <row r="627" spans="1:19" ht="15" customHeight="1">
      <c r="A627" s="9"/>
      <c r="B627" s="9"/>
      <c r="C627" s="1">
        <f>Tabela2[[#This Row],[Data
Pedido]]-Tabela2[[#This Row],[Data Última Aprovação RC]]</f>
        <v>0</v>
      </c>
      <c r="J627" s="1" t="str">
        <f t="shared" ca="1" si="19"/>
        <v/>
      </c>
      <c r="K627" s="11">
        <f>Tabela2[[#This Row],[SLA
Padrão]]-Tabela2[[#This Row],[SLA Atendimento]]</f>
        <v>0</v>
      </c>
      <c r="L627" s="11"/>
      <c r="O627" s="1" t="s">
        <v>30</v>
      </c>
      <c r="P627" s="2">
        <f>Tabela2[[#This Row],[Proposta
 Inicial]]-Tabela2[[#This Row],[Proposta
 Negociada]]</f>
        <v>0</v>
      </c>
      <c r="Q627" s="4" t="e">
        <f>Tabela2[[#This Row],[Proposta
 Negociada]]/Tabela2[[#This Row],[Proposta
 Inicial]]-1</f>
        <v>#DIV/0!</v>
      </c>
      <c r="S627"/>
    </row>
    <row r="628" spans="1:19" ht="15" customHeight="1">
      <c r="A628" s="9"/>
      <c r="B628" s="9"/>
      <c r="C628" s="1">
        <f>Tabela2[[#This Row],[Data
Pedido]]-Tabela2[[#This Row],[Data Última Aprovação RC]]</f>
        <v>0</v>
      </c>
      <c r="J628" s="1" t="str">
        <f t="shared" ca="1" si="19"/>
        <v/>
      </c>
      <c r="K628" s="11">
        <f>Tabela2[[#This Row],[SLA
Padrão]]-Tabela2[[#This Row],[SLA Atendimento]]</f>
        <v>0</v>
      </c>
      <c r="L628" s="11"/>
      <c r="O628" s="1" t="s">
        <v>30</v>
      </c>
      <c r="P628" s="2">
        <f>Tabela2[[#This Row],[Proposta
 Inicial]]-Tabela2[[#This Row],[Proposta
 Negociada]]</f>
        <v>0</v>
      </c>
      <c r="Q628" s="4" t="e">
        <f>Tabela2[[#This Row],[Proposta
 Negociada]]/Tabela2[[#This Row],[Proposta
 Inicial]]-1</f>
        <v>#DIV/0!</v>
      </c>
      <c r="S628"/>
    </row>
    <row r="629" spans="1:19" ht="15" customHeight="1">
      <c r="A629" s="9"/>
      <c r="B629" s="9"/>
      <c r="C629" s="1">
        <f>Tabela2[[#This Row],[Data
Pedido]]-Tabela2[[#This Row],[Data Última Aprovação RC]]</f>
        <v>0</v>
      </c>
      <c r="J629" s="1" t="str">
        <f t="shared" ca="1" si="19"/>
        <v/>
      </c>
      <c r="K629" s="11">
        <f>Tabela2[[#This Row],[SLA
Padrão]]-Tabela2[[#This Row],[SLA Atendimento]]</f>
        <v>0</v>
      </c>
      <c r="L629" s="11"/>
      <c r="O629" s="1" t="s">
        <v>30</v>
      </c>
      <c r="P629" s="2">
        <f>Tabela2[[#This Row],[Proposta
 Inicial]]-Tabela2[[#This Row],[Proposta
 Negociada]]</f>
        <v>0</v>
      </c>
      <c r="Q629" s="4" t="e">
        <f>Tabela2[[#This Row],[Proposta
 Negociada]]/Tabela2[[#This Row],[Proposta
 Inicial]]-1</f>
        <v>#DIV/0!</v>
      </c>
      <c r="S629"/>
    </row>
    <row r="630" spans="1:19" ht="15" customHeight="1">
      <c r="A630" s="9"/>
      <c r="B630" s="9"/>
      <c r="C630" s="1">
        <f>Tabela2[[#This Row],[Data
Pedido]]-Tabela2[[#This Row],[Data Última Aprovação RC]]</f>
        <v>0</v>
      </c>
      <c r="J630" s="1" t="str">
        <f t="shared" ca="1" si="19"/>
        <v/>
      </c>
      <c r="K630" s="11">
        <f>Tabela2[[#This Row],[SLA
Padrão]]-Tabela2[[#This Row],[SLA Atendimento]]</f>
        <v>0</v>
      </c>
      <c r="L630" s="11"/>
      <c r="O630" s="1" t="s">
        <v>30</v>
      </c>
      <c r="P630" s="2">
        <f>Tabela2[[#This Row],[Proposta
 Inicial]]-Tabela2[[#This Row],[Proposta
 Negociada]]</f>
        <v>0</v>
      </c>
      <c r="Q630" s="4" t="e">
        <f>Tabela2[[#This Row],[Proposta
 Negociada]]/Tabela2[[#This Row],[Proposta
 Inicial]]-1</f>
        <v>#DIV/0!</v>
      </c>
      <c r="S630"/>
    </row>
    <row r="631" spans="1:19" ht="15" customHeight="1">
      <c r="A631" s="9"/>
      <c r="B631" s="9"/>
      <c r="C631" s="1">
        <f>Tabela2[[#This Row],[Data
Pedido]]-Tabela2[[#This Row],[Data Última Aprovação RC]]</f>
        <v>0</v>
      </c>
      <c r="J631" s="1" t="str">
        <f t="shared" ca="1" si="19"/>
        <v/>
      </c>
      <c r="K631" s="11">
        <f>Tabela2[[#This Row],[SLA
Padrão]]-Tabela2[[#This Row],[SLA Atendimento]]</f>
        <v>0</v>
      </c>
      <c r="L631" s="11"/>
      <c r="O631" s="1" t="s">
        <v>30</v>
      </c>
      <c r="P631" s="2">
        <f>Tabela2[[#This Row],[Proposta
 Inicial]]-Tabela2[[#This Row],[Proposta
 Negociada]]</f>
        <v>0</v>
      </c>
      <c r="Q631" s="4" t="e">
        <f>Tabela2[[#This Row],[Proposta
 Negociada]]/Tabela2[[#This Row],[Proposta
 Inicial]]-1</f>
        <v>#DIV/0!</v>
      </c>
      <c r="S631"/>
    </row>
    <row r="632" spans="1:19" ht="15" customHeight="1">
      <c r="A632" s="9"/>
      <c r="B632" s="9"/>
      <c r="C632" s="1">
        <f>Tabela2[[#This Row],[Data
Pedido]]-Tabela2[[#This Row],[Data Última Aprovação RC]]</f>
        <v>0</v>
      </c>
      <c r="J632" s="1" t="str">
        <f t="shared" ca="1" si="19"/>
        <v/>
      </c>
      <c r="K632" s="11">
        <f>Tabela2[[#This Row],[SLA
Padrão]]-Tabela2[[#This Row],[SLA Atendimento]]</f>
        <v>0</v>
      </c>
      <c r="L632" s="11"/>
      <c r="O632" s="1" t="s">
        <v>30</v>
      </c>
      <c r="P632" s="2">
        <f>Tabela2[[#This Row],[Proposta
 Inicial]]-Tabela2[[#This Row],[Proposta
 Negociada]]</f>
        <v>0</v>
      </c>
      <c r="Q632" s="4" t="e">
        <f>Tabela2[[#This Row],[Proposta
 Negociada]]/Tabela2[[#This Row],[Proposta
 Inicial]]-1</f>
        <v>#DIV/0!</v>
      </c>
      <c r="S632"/>
    </row>
    <row r="633" spans="1:19" ht="15" customHeight="1">
      <c r="A633" s="9"/>
      <c r="B633" s="9"/>
      <c r="C633" s="1">
        <f>Tabela2[[#This Row],[Data
Pedido]]-Tabela2[[#This Row],[Data Última Aprovação RC]]</f>
        <v>0</v>
      </c>
      <c r="J633" s="1" t="str">
        <f t="shared" ca="1" si="19"/>
        <v/>
      </c>
      <c r="K633" s="11">
        <f>Tabela2[[#This Row],[SLA
Padrão]]-Tabela2[[#This Row],[SLA Atendimento]]</f>
        <v>0</v>
      </c>
      <c r="L633" s="11"/>
      <c r="O633" s="1" t="s">
        <v>30</v>
      </c>
      <c r="P633" s="2">
        <f>Tabela2[[#This Row],[Proposta
 Inicial]]-Tabela2[[#This Row],[Proposta
 Negociada]]</f>
        <v>0</v>
      </c>
      <c r="Q633" s="4" t="e">
        <f>Tabela2[[#This Row],[Proposta
 Negociada]]/Tabela2[[#This Row],[Proposta
 Inicial]]-1</f>
        <v>#DIV/0!</v>
      </c>
      <c r="S633"/>
    </row>
    <row r="634" spans="1:19" ht="15" customHeight="1">
      <c r="A634" s="9"/>
      <c r="B634" s="9"/>
      <c r="C634" s="1">
        <f>Tabela2[[#This Row],[Data
Pedido]]-Tabela2[[#This Row],[Data Última Aprovação RC]]</f>
        <v>0</v>
      </c>
      <c r="J634" s="1" t="str">
        <f t="shared" ca="1" si="19"/>
        <v/>
      </c>
      <c r="K634" s="11">
        <f>Tabela2[[#This Row],[SLA
Padrão]]-Tabela2[[#This Row],[SLA Atendimento]]</f>
        <v>0</v>
      </c>
      <c r="L634" s="11"/>
      <c r="O634" s="1" t="s">
        <v>30</v>
      </c>
      <c r="P634" s="2">
        <f>Tabela2[[#This Row],[Proposta
 Inicial]]-Tabela2[[#This Row],[Proposta
 Negociada]]</f>
        <v>0</v>
      </c>
      <c r="Q634" s="4" t="e">
        <f>Tabela2[[#This Row],[Proposta
 Negociada]]/Tabela2[[#This Row],[Proposta
 Inicial]]-1</f>
        <v>#DIV/0!</v>
      </c>
      <c r="S634"/>
    </row>
    <row r="635" spans="1:19" ht="15" customHeight="1">
      <c r="A635" s="9"/>
      <c r="B635" s="9"/>
      <c r="C635" s="1">
        <f>Tabela2[[#This Row],[Data
Pedido]]-Tabela2[[#This Row],[Data Última Aprovação RC]]</f>
        <v>0</v>
      </c>
      <c r="J635" s="1" t="str">
        <f t="shared" ca="1" si="19"/>
        <v/>
      </c>
      <c r="K635" s="11">
        <f>Tabela2[[#This Row],[SLA
Padrão]]-Tabela2[[#This Row],[SLA Atendimento]]</f>
        <v>0</v>
      </c>
      <c r="L635" s="11"/>
      <c r="O635" s="1" t="s">
        <v>30</v>
      </c>
      <c r="P635" s="2">
        <f>Tabela2[[#This Row],[Proposta
 Inicial]]-Tabela2[[#This Row],[Proposta
 Negociada]]</f>
        <v>0</v>
      </c>
      <c r="Q635" s="4" t="e">
        <f>Tabela2[[#This Row],[Proposta
 Negociada]]/Tabela2[[#This Row],[Proposta
 Inicial]]-1</f>
        <v>#DIV/0!</v>
      </c>
      <c r="S635"/>
    </row>
    <row r="636" spans="1:19" ht="15" customHeight="1">
      <c r="A636" s="9"/>
      <c r="B636" s="9"/>
      <c r="C636" s="1">
        <f>Tabela2[[#This Row],[Data
Pedido]]-Tabela2[[#This Row],[Data Última Aprovação RC]]</f>
        <v>0</v>
      </c>
      <c r="J636" s="1" t="str">
        <f t="shared" ca="1" si="19"/>
        <v/>
      </c>
      <c r="K636" s="11">
        <f>Tabela2[[#This Row],[SLA
Padrão]]-Tabela2[[#This Row],[SLA Atendimento]]</f>
        <v>0</v>
      </c>
      <c r="L636" s="11"/>
      <c r="O636" s="1" t="s">
        <v>30</v>
      </c>
      <c r="P636" s="2">
        <f>Tabela2[[#This Row],[Proposta
 Inicial]]-Tabela2[[#This Row],[Proposta
 Negociada]]</f>
        <v>0</v>
      </c>
      <c r="Q636" s="4" t="e">
        <f>Tabela2[[#This Row],[Proposta
 Negociada]]/Tabela2[[#This Row],[Proposta
 Inicial]]-1</f>
        <v>#DIV/0!</v>
      </c>
      <c r="S636"/>
    </row>
    <row r="637" spans="1:19" ht="15" customHeight="1">
      <c r="A637" s="9"/>
      <c r="B637" s="9"/>
      <c r="C637" s="1">
        <f>Tabela2[[#This Row],[Data
Pedido]]-Tabela2[[#This Row],[Data Última Aprovação RC]]</f>
        <v>0</v>
      </c>
      <c r="J637" s="1" t="str">
        <f t="shared" ca="1" si="19"/>
        <v/>
      </c>
      <c r="K637" s="11">
        <f>Tabela2[[#This Row],[SLA
Padrão]]-Tabela2[[#This Row],[SLA Atendimento]]</f>
        <v>0</v>
      </c>
      <c r="L637" s="11"/>
      <c r="O637" s="1" t="s">
        <v>30</v>
      </c>
      <c r="P637" s="2">
        <f>Tabela2[[#This Row],[Proposta
 Inicial]]-Tabela2[[#This Row],[Proposta
 Negociada]]</f>
        <v>0</v>
      </c>
      <c r="Q637" s="4" t="e">
        <f>Tabela2[[#This Row],[Proposta
 Negociada]]/Tabela2[[#This Row],[Proposta
 Inicial]]-1</f>
        <v>#DIV/0!</v>
      </c>
      <c r="S637"/>
    </row>
    <row r="638" spans="1:19" ht="15" customHeight="1">
      <c r="A638" s="9"/>
      <c r="B638" s="9"/>
      <c r="C638" s="1">
        <f>Tabela2[[#This Row],[Data
Pedido]]-Tabela2[[#This Row],[Data Última Aprovação RC]]</f>
        <v>0</v>
      </c>
      <c r="J638" s="1" t="str">
        <f t="shared" ca="1" si="19"/>
        <v/>
      </c>
      <c r="K638" s="11">
        <f>Tabela2[[#This Row],[SLA
Padrão]]-Tabela2[[#This Row],[SLA Atendimento]]</f>
        <v>0</v>
      </c>
      <c r="L638" s="11"/>
      <c r="O638" s="1" t="s">
        <v>30</v>
      </c>
      <c r="P638" s="2">
        <f>Tabela2[[#This Row],[Proposta
 Inicial]]-Tabela2[[#This Row],[Proposta
 Negociada]]</f>
        <v>0</v>
      </c>
      <c r="Q638" s="4" t="e">
        <f>Tabela2[[#This Row],[Proposta
 Negociada]]/Tabela2[[#This Row],[Proposta
 Inicial]]-1</f>
        <v>#DIV/0!</v>
      </c>
      <c r="S638"/>
    </row>
    <row r="639" spans="1:19" ht="15" customHeight="1">
      <c r="A639" s="9"/>
      <c r="B639" s="9"/>
      <c r="C639" s="1">
        <f>Tabela2[[#This Row],[Data
Pedido]]-Tabela2[[#This Row],[Data Última Aprovação RC]]</f>
        <v>0</v>
      </c>
      <c r="J639" s="1" t="str">
        <f t="shared" ca="1" si="19"/>
        <v/>
      </c>
      <c r="K639" s="11">
        <f>Tabela2[[#This Row],[SLA
Padrão]]-Tabela2[[#This Row],[SLA Atendimento]]</f>
        <v>0</v>
      </c>
      <c r="L639" s="11"/>
      <c r="O639" s="1" t="s">
        <v>30</v>
      </c>
      <c r="P639" s="2">
        <f>Tabela2[[#This Row],[Proposta
 Inicial]]-Tabela2[[#This Row],[Proposta
 Negociada]]</f>
        <v>0</v>
      </c>
      <c r="Q639" s="4" t="e">
        <f>Tabela2[[#This Row],[Proposta
 Negociada]]/Tabela2[[#This Row],[Proposta
 Inicial]]-1</f>
        <v>#DIV/0!</v>
      </c>
      <c r="S639"/>
    </row>
    <row r="640" spans="1:19" ht="15" customHeight="1">
      <c r="A640" s="9"/>
      <c r="B640" s="9"/>
      <c r="C640" s="1">
        <f>Tabela2[[#This Row],[Data
Pedido]]-Tabela2[[#This Row],[Data Última Aprovação RC]]</f>
        <v>0</v>
      </c>
      <c r="J640" s="1" t="str">
        <f t="shared" ca="1" si="19"/>
        <v/>
      </c>
      <c r="K640" s="11">
        <f>Tabela2[[#This Row],[SLA
Padrão]]-Tabela2[[#This Row],[SLA Atendimento]]</f>
        <v>0</v>
      </c>
      <c r="L640" s="11"/>
      <c r="O640" s="1" t="s">
        <v>30</v>
      </c>
      <c r="P640" s="2">
        <f>Tabela2[[#This Row],[Proposta
 Inicial]]-Tabela2[[#This Row],[Proposta
 Negociada]]</f>
        <v>0</v>
      </c>
      <c r="Q640" s="4" t="e">
        <f>Tabela2[[#This Row],[Proposta
 Negociada]]/Tabela2[[#This Row],[Proposta
 Inicial]]-1</f>
        <v>#DIV/0!</v>
      </c>
      <c r="S640"/>
    </row>
    <row r="641" spans="1:19" ht="15" customHeight="1">
      <c r="A641" s="9"/>
      <c r="B641" s="9"/>
      <c r="C641" s="1">
        <f>Tabela2[[#This Row],[Data
Pedido]]-Tabela2[[#This Row],[Data Última Aprovação RC]]</f>
        <v>0</v>
      </c>
      <c r="J641" s="1" t="str">
        <f t="shared" ca="1" si="19"/>
        <v/>
      </c>
      <c r="K641" s="11">
        <f>Tabela2[[#This Row],[SLA
Padrão]]-Tabela2[[#This Row],[SLA Atendimento]]</f>
        <v>0</v>
      </c>
      <c r="L641" s="11"/>
      <c r="O641" s="1" t="s">
        <v>30</v>
      </c>
      <c r="P641" s="2">
        <f>Tabela2[[#This Row],[Proposta
 Inicial]]-Tabela2[[#This Row],[Proposta
 Negociada]]</f>
        <v>0</v>
      </c>
      <c r="Q641" s="4" t="e">
        <f>Tabela2[[#This Row],[Proposta
 Negociada]]/Tabela2[[#This Row],[Proposta
 Inicial]]-1</f>
        <v>#DIV/0!</v>
      </c>
      <c r="S641"/>
    </row>
    <row r="642" spans="1:19" ht="15" customHeight="1">
      <c r="A642" s="9"/>
      <c r="B642" s="9"/>
      <c r="C642" s="1">
        <f>Tabela2[[#This Row],[Data
Pedido]]-Tabela2[[#This Row],[Data Última Aprovação RC]]</f>
        <v>0</v>
      </c>
      <c r="J642" s="1" t="str">
        <f t="shared" ca="1" si="19"/>
        <v/>
      </c>
      <c r="K642" s="11">
        <f>Tabela2[[#This Row],[SLA
Padrão]]-Tabela2[[#This Row],[SLA Atendimento]]</f>
        <v>0</v>
      </c>
      <c r="L642" s="11"/>
      <c r="O642" s="1" t="s">
        <v>30</v>
      </c>
      <c r="P642" s="2">
        <f>Tabela2[[#This Row],[Proposta
 Inicial]]-Tabela2[[#This Row],[Proposta
 Negociada]]</f>
        <v>0</v>
      </c>
      <c r="Q642" s="4" t="e">
        <f>Tabela2[[#This Row],[Proposta
 Negociada]]/Tabela2[[#This Row],[Proposta
 Inicial]]-1</f>
        <v>#DIV/0!</v>
      </c>
      <c r="S642"/>
    </row>
    <row r="643" spans="1:19" ht="15" customHeight="1">
      <c r="A643" s="9"/>
      <c r="B643" s="9"/>
      <c r="C643" s="1">
        <f>Tabela2[[#This Row],[Data
Pedido]]-Tabela2[[#This Row],[Data Última Aprovação RC]]</f>
        <v>0</v>
      </c>
      <c r="J643" s="1" t="str">
        <f t="shared" ca="1" si="19"/>
        <v/>
      </c>
      <c r="K643" s="11">
        <f>Tabela2[[#This Row],[SLA
Padrão]]-Tabela2[[#This Row],[SLA Atendimento]]</f>
        <v>0</v>
      </c>
      <c r="L643" s="11"/>
      <c r="O643" s="1" t="s">
        <v>30</v>
      </c>
      <c r="P643" s="2">
        <f>Tabela2[[#This Row],[Proposta
 Inicial]]-Tabela2[[#This Row],[Proposta
 Negociada]]</f>
        <v>0</v>
      </c>
      <c r="Q643" s="4" t="e">
        <f>Tabela2[[#This Row],[Proposta
 Negociada]]/Tabela2[[#This Row],[Proposta
 Inicial]]-1</f>
        <v>#DIV/0!</v>
      </c>
      <c r="S643"/>
    </row>
    <row r="644" spans="1:19" ht="15" customHeight="1">
      <c r="A644" s="9"/>
      <c r="B644" s="9"/>
      <c r="C644" s="1">
        <f>Tabela2[[#This Row],[Data
Pedido]]-Tabela2[[#This Row],[Data Última Aprovação RC]]</f>
        <v>0</v>
      </c>
      <c r="J644" s="1" t="str">
        <f t="shared" ca="1" si="19"/>
        <v/>
      </c>
      <c r="K644" s="11">
        <f>Tabela2[[#This Row],[SLA
Padrão]]-Tabela2[[#This Row],[SLA Atendimento]]</f>
        <v>0</v>
      </c>
      <c r="L644" s="11"/>
      <c r="O644" s="1" t="s">
        <v>30</v>
      </c>
      <c r="P644" s="2">
        <f>Tabela2[[#This Row],[Proposta
 Inicial]]-Tabela2[[#This Row],[Proposta
 Negociada]]</f>
        <v>0</v>
      </c>
      <c r="Q644" s="4" t="e">
        <f>Tabela2[[#This Row],[Proposta
 Negociada]]/Tabela2[[#This Row],[Proposta
 Inicial]]-1</f>
        <v>#DIV/0!</v>
      </c>
      <c r="S644"/>
    </row>
    <row r="645" spans="1:19" ht="15" customHeight="1">
      <c r="A645" s="9"/>
      <c r="B645" s="9"/>
      <c r="C645" s="1">
        <f>Tabela2[[#This Row],[Data
Pedido]]-Tabela2[[#This Row],[Data Última Aprovação RC]]</f>
        <v>0</v>
      </c>
      <c r="J645" s="1" t="str">
        <f t="shared" ca="1" si="19"/>
        <v/>
      </c>
      <c r="K645" s="11">
        <f>Tabela2[[#This Row],[SLA
Padrão]]-Tabela2[[#This Row],[SLA Atendimento]]</f>
        <v>0</v>
      </c>
      <c r="L645" s="11"/>
      <c r="O645" s="1" t="s">
        <v>30</v>
      </c>
      <c r="P645" s="2">
        <f>Tabela2[[#This Row],[Proposta
 Inicial]]-Tabela2[[#This Row],[Proposta
 Negociada]]</f>
        <v>0</v>
      </c>
      <c r="Q645" s="4" t="e">
        <f>Tabela2[[#This Row],[Proposta
 Negociada]]/Tabela2[[#This Row],[Proposta
 Inicial]]-1</f>
        <v>#DIV/0!</v>
      </c>
      <c r="S645"/>
    </row>
    <row r="646" spans="1:19" ht="15" customHeight="1">
      <c r="A646" s="9"/>
      <c r="B646" s="9"/>
      <c r="C646" s="1">
        <f>Tabela2[[#This Row],[Data
Pedido]]-Tabela2[[#This Row],[Data Última Aprovação RC]]</f>
        <v>0</v>
      </c>
      <c r="J646" s="1" t="str">
        <f t="shared" ca="1" si="19"/>
        <v/>
      </c>
      <c r="K646" s="11">
        <f>Tabela2[[#This Row],[SLA
Padrão]]-Tabela2[[#This Row],[SLA Atendimento]]</f>
        <v>0</v>
      </c>
      <c r="L646" s="11"/>
      <c r="O646" s="1" t="s">
        <v>30</v>
      </c>
      <c r="P646" s="2">
        <f>Tabela2[[#This Row],[Proposta
 Inicial]]-Tabela2[[#This Row],[Proposta
 Negociada]]</f>
        <v>0</v>
      </c>
      <c r="Q646" s="4" t="e">
        <f>Tabela2[[#This Row],[Proposta
 Negociada]]/Tabela2[[#This Row],[Proposta
 Inicial]]-1</f>
        <v>#DIV/0!</v>
      </c>
      <c r="S646"/>
    </row>
    <row r="647" spans="1:19" ht="15" customHeight="1">
      <c r="A647" s="9"/>
      <c r="B647" s="9"/>
      <c r="C647" s="1">
        <f>Tabela2[[#This Row],[Data
Pedido]]-Tabela2[[#This Row],[Data Última Aprovação RC]]</f>
        <v>0</v>
      </c>
      <c r="J647" s="1" t="str">
        <f t="shared" ca="1" si="19"/>
        <v/>
      </c>
      <c r="K647" s="11">
        <f>Tabela2[[#This Row],[SLA
Padrão]]-Tabela2[[#This Row],[SLA Atendimento]]</f>
        <v>0</v>
      </c>
      <c r="L647" s="11"/>
      <c r="O647" s="1" t="s">
        <v>30</v>
      </c>
      <c r="P647" s="2">
        <f>Tabela2[[#This Row],[Proposta
 Inicial]]-Tabela2[[#This Row],[Proposta
 Negociada]]</f>
        <v>0</v>
      </c>
      <c r="Q647" s="4" t="e">
        <f>Tabela2[[#This Row],[Proposta
 Negociada]]/Tabela2[[#This Row],[Proposta
 Inicial]]-1</f>
        <v>#DIV/0!</v>
      </c>
      <c r="S647"/>
    </row>
    <row r="648" spans="1:19" ht="15" customHeight="1">
      <c r="A648" s="9"/>
      <c r="B648" s="9"/>
      <c r="C648" s="1">
        <f>Tabela2[[#This Row],[Data
Pedido]]-Tabela2[[#This Row],[Data Última Aprovação RC]]</f>
        <v>0</v>
      </c>
      <c r="J648" s="1" t="str">
        <f t="shared" ca="1" si="19"/>
        <v/>
      </c>
      <c r="K648" s="11">
        <f>Tabela2[[#This Row],[SLA
Padrão]]-Tabela2[[#This Row],[SLA Atendimento]]</f>
        <v>0</v>
      </c>
      <c r="L648" s="11"/>
      <c r="O648" s="1" t="s">
        <v>30</v>
      </c>
      <c r="P648" s="2">
        <f>Tabela2[[#This Row],[Proposta
 Inicial]]-Tabela2[[#This Row],[Proposta
 Negociada]]</f>
        <v>0</v>
      </c>
      <c r="Q648" s="4" t="e">
        <f>Tabela2[[#This Row],[Proposta
 Negociada]]/Tabela2[[#This Row],[Proposta
 Inicial]]-1</f>
        <v>#DIV/0!</v>
      </c>
      <c r="S648"/>
    </row>
    <row r="649" spans="1:19" ht="15" customHeight="1">
      <c r="A649" s="9"/>
      <c r="B649" s="9"/>
      <c r="C649" s="1">
        <f>Tabela2[[#This Row],[Data
Pedido]]-Tabela2[[#This Row],[Data Última Aprovação RC]]</f>
        <v>0</v>
      </c>
      <c r="J649" s="1" t="str">
        <f t="shared" ca="1" si="19"/>
        <v/>
      </c>
      <c r="K649" s="11">
        <f>Tabela2[[#This Row],[SLA
Padrão]]-Tabela2[[#This Row],[SLA Atendimento]]</f>
        <v>0</v>
      </c>
      <c r="L649" s="11"/>
      <c r="O649" s="1" t="s">
        <v>30</v>
      </c>
      <c r="P649" s="2">
        <f>Tabela2[[#This Row],[Proposta
 Inicial]]-Tabela2[[#This Row],[Proposta
 Negociada]]</f>
        <v>0</v>
      </c>
      <c r="Q649" s="4" t="e">
        <f>Tabela2[[#This Row],[Proposta
 Negociada]]/Tabela2[[#This Row],[Proposta
 Inicial]]-1</f>
        <v>#DIV/0!</v>
      </c>
      <c r="S649"/>
    </row>
    <row r="650" spans="1:19" ht="15" customHeight="1">
      <c r="A650" s="9"/>
      <c r="B650" s="9"/>
      <c r="C650" s="1">
        <f>Tabela2[[#This Row],[Data
Pedido]]-Tabela2[[#This Row],[Data Última Aprovação RC]]</f>
        <v>0</v>
      </c>
      <c r="J650" s="1" t="str">
        <f t="shared" ca="1" si="19"/>
        <v/>
      </c>
      <c r="K650" s="11">
        <f>Tabela2[[#This Row],[SLA
Padrão]]-Tabela2[[#This Row],[SLA Atendimento]]</f>
        <v>0</v>
      </c>
      <c r="L650" s="11"/>
      <c r="O650" s="1" t="s">
        <v>30</v>
      </c>
      <c r="P650" s="2">
        <f>Tabela2[[#This Row],[Proposta
 Inicial]]-Tabela2[[#This Row],[Proposta
 Negociada]]</f>
        <v>0</v>
      </c>
      <c r="Q650" s="4" t="e">
        <f>Tabela2[[#This Row],[Proposta
 Negociada]]/Tabela2[[#This Row],[Proposta
 Inicial]]-1</f>
        <v>#DIV/0!</v>
      </c>
      <c r="S650"/>
    </row>
    <row r="651" spans="1:19" ht="15" customHeight="1">
      <c r="A651" s="9"/>
      <c r="B651" s="9"/>
      <c r="C651" s="1">
        <f>Tabela2[[#This Row],[Data
Pedido]]-Tabela2[[#This Row],[Data Última Aprovação RC]]</f>
        <v>0</v>
      </c>
      <c r="J651" s="1" t="str">
        <f t="shared" ca="1" si="19"/>
        <v/>
      </c>
      <c r="K651" s="11">
        <f>Tabela2[[#This Row],[SLA
Padrão]]-Tabela2[[#This Row],[SLA Atendimento]]</f>
        <v>0</v>
      </c>
      <c r="L651" s="11"/>
      <c r="O651" s="1" t="s">
        <v>30</v>
      </c>
      <c r="P651" s="2">
        <f>Tabela2[[#This Row],[Proposta
 Inicial]]-Tabela2[[#This Row],[Proposta
 Negociada]]</f>
        <v>0</v>
      </c>
      <c r="Q651" s="4" t="e">
        <f>Tabela2[[#This Row],[Proposta
 Negociada]]/Tabela2[[#This Row],[Proposta
 Inicial]]-1</f>
        <v>#DIV/0!</v>
      </c>
      <c r="S651"/>
    </row>
    <row r="652" spans="1:19" ht="15" customHeight="1">
      <c r="A652" s="9"/>
      <c r="B652" s="9"/>
      <c r="C652" s="1">
        <f>Tabela2[[#This Row],[Data
Pedido]]-Tabela2[[#This Row],[Data Última Aprovação RC]]</f>
        <v>0</v>
      </c>
      <c r="J652" s="1" t="str">
        <f t="shared" ca="1" si="19"/>
        <v/>
      </c>
      <c r="K652" s="11">
        <f>Tabela2[[#This Row],[SLA
Padrão]]-Tabela2[[#This Row],[SLA Atendimento]]</f>
        <v>0</v>
      </c>
      <c r="L652" s="11"/>
      <c r="O652" s="1" t="s">
        <v>30</v>
      </c>
      <c r="P652" s="2">
        <f>Tabela2[[#This Row],[Proposta
 Inicial]]-Tabela2[[#This Row],[Proposta
 Negociada]]</f>
        <v>0</v>
      </c>
      <c r="Q652" s="4" t="e">
        <f>Tabela2[[#This Row],[Proposta
 Negociada]]/Tabela2[[#This Row],[Proposta
 Inicial]]-1</f>
        <v>#DIV/0!</v>
      </c>
      <c r="S652"/>
    </row>
    <row r="653" spans="1:19" ht="15" customHeight="1">
      <c r="A653" s="9"/>
      <c r="B653" s="9"/>
      <c r="C653" s="1">
        <f>Tabela2[[#This Row],[Data
Pedido]]-Tabela2[[#This Row],[Data Última Aprovação RC]]</f>
        <v>0</v>
      </c>
      <c r="J653" s="1" t="str">
        <f t="shared" ca="1" si="19"/>
        <v/>
      </c>
      <c r="K653" s="11">
        <f>Tabela2[[#This Row],[SLA
Padrão]]-Tabela2[[#This Row],[SLA Atendimento]]</f>
        <v>0</v>
      </c>
      <c r="L653" s="11"/>
      <c r="O653" s="1" t="s">
        <v>30</v>
      </c>
      <c r="P653" s="2">
        <f>Tabela2[[#This Row],[Proposta
 Inicial]]-Tabela2[[#This Row],[Proposta
 Negociada]]</f>
        <v>0</v>
      </c>
      <c r="Q653" s="4" t="e">
        <f>Tabela2[[#This Row],[Proposta
 Negociada]]/Tabela2[[#This Row],[Proposta
 Inicial]]-1</f>
        <v>#DIV/0!</v>
      </c>
      <c r="S653"/>
    </row>
    <row r="654" spans="1:19" ht="15" customHeight="1">
      <c r="A654" s="9"/>
      <c r="B654" s="9"/>
      <c r="C654" s="1">
        <f>Tabela2[[#This Row],[Data
Pedido]]-Tabela2[[#This Row],[Data Última Aprovação RC]]</f>
        <v>0</v>
      </c>
      <c r="J654" s="1" t="str">
        <f t="shared" ca="1" si="19"/>
        <v/>
      </c>
      <c r="K654" s="11">
        <f>Tabela2[[#This Row],[SLA
Padrão]]-Tabela2[[#This Row],[SLA Atendimento]]</f>
        <v>0</v>
      </c>
      <c r="L654" s="11"/>
      <c r="O654" s="1" t="s">
        <v>30</v>
      </c>
      <c r="P654" s="2">
        <f>Tabela2[[#This Row],[Proposta
 Inicial]]-Tabela2[[#This Row],[Proposta
 Negociada]]</f>
        <v>0</v>
      </c>
      <c r="Q654" s="4" t="e">
        <f>Tabela2[[#This Row],[Proposta
 Negociada]]/Tabela2[[#This Row],[Proposta
 Inicial]]-1</f>
        <v>#DIV/0!</v>
      </c>
      <c r="S654"/>
    </row>
    <row r="655" spans="1:19" ht="15" customHeight="1">
      <c r="A655" s="9"/>
      <c r="B655" s="9"/>
      <c r="C655" s="1">
        <f>Tabela2[[#This Row],[Data
Pedido]]-Tabela2[[#This Row],[Data Última Aprovação RC]]</f>
        <v>0</v>
      </c>
      <c r="J655" s="1" t="str">
        <f t="shared" ca="1" si="19"/>
        <v/>
      </c>
      <c r="K655" s="11">
        <f>Tabela2[[#This Row],[SLA
Padrão]]-Tabela2[[#This Row],[SLA Atendimento]]</f>
        <v>0</v>
      </c>
      <c r="L655" s="11"/>
      <c r="O655" s="1" t="s">
        <v>30</v>
      </c>
      <c r="P655" s="2">
        <f>Tabela2[[#This Row],[Proposta
 Inicial]]-Tabela2[[#This Row],[Proposta
 Negociada]]</f>
        <v>0</v>
      </c>
      <c r="Q655" s="4" t="e">
        <f>Tabela2[[#This Row],[Proposta
 Negociada]]/Tabela2[[#This Row],[Proposta
 Inicial]]-1</f>
        <v>#DIV/0!</v>
      </c>
      <c r="S655"/>
    </row>
    <row r="656" spans="1:19" ht="15" customHeight="1">
      <c r="A656" s="9"/>
      <c r="B656" s="9"/>
      <c r="C656" s="1">
        <f>Tabela2[[#This Row],[Data
Pedido]]-Tabela2[[#This Row],[Data Última Aprovação RC]]</f>
        <v>0</v>
      </c>
      <c r="J656" s="1" t="str">
        <f t="shared" ca="1" si="19"/>
        <v/>
      </c>
      <c r="K656" s="11">
        <f>Tabela2[[#This Row],[SLA
Padrão]]-Tabela2[[#This Row],[SLA Atendimento]]</f>
        <v>0</v>
      </c>
      <c r="L656" s="11"/>
      <c r="O656" s="1" t="s">
        <v>30</v>
      </c>
      <c r="P656" s="2">
        <f>Tabela2[[#This Row],[Proposta
 Inicial]]-Tabela2[[#This Row],[Proposta
 Negociada]]</f>
        <v>0</v>
      </c>
      <c r="Q656" s="4" t="e">
        <f>Tabela2[[#This Row],[Proposta
 Negociada]]/Tabela2[[#This Row],[Proposta
 Inicial]]-1</f>
        <v>#DIV/0!</v>
      </c>
      <c r="S656"/>
    </row>
    <row r="657" spans="1:19" ht="15" customHeight="1">
      <c r="A657" s="9"/>
      <c r="B657" s="9"/>
      <c r="C657" s="1">
        <f>Tabela2[[#This Row],[Data
Pedido]]-Tabela2[[#This Row],[Data Última Aprovação RC]]</f>
        <v>0</v>
      </c>
      <c r="J657" s="1" t="str">
        <f t="shared" ca="1" si="19"/>
        <v/>
      </c>
      <c r="K657" s="11">
        <f>Tabela2[[#This Row],[SLA
Padrão]]-Tabela2[[#This Row],[SLA Atendimento]]</f>
        <v>0</v>
      </c>
      <c r="L657" s="11"/>
      <c r="O657" s="1" t="s">
        <v>30</v>
      </c>
      <c r="P657" s="2">
        <f>Tabela2[[#This Row],[Proposta
 Inicial]]-Tabela2[[#This Row],[Proposta
 Negociada]]</f>
        <v>0</v>
      </c>
      <c r="Q657" s="4" t="e">
        <f>Tabela2[[#This Row],[Proposta
 Negociada]]/Tabela2[[#This Row],[Proposta
 Inicial]]-1</f>
        <v>#DIV/0!</v>
      </c>
      <c r="S657"/>
    </row>
    <row r="658" spans="1:19" ht="15" customHeight="1">
      <c r="A658" s="9"/>
      <c r="B658" s="9"/>
      <c r="C658" s="1">
        <f>Tabela2[[#This Row],[Data
Pedido]]-Tabela2[[#This Row],[Data Última Aprovação RC]]</f>
        <v>0</v>
      </c>
      <c r="J658" s="1" t="str">
        <f t="shared" ca="1" si="19"/>
        <v/>
      </c>
      <c r="K658" s="11">
        <f>Tabela2[[#This Row],[SLA
Padrão]]-Tabela2[[#This Row],[SLA Atendimento]]</f>
        <v>0</v>
      </c>
      <c r="L658" s="11"/>
      <c r="O658" s="1" t="s">
        <v>30</v>
      </c>
      <c r="P658" s="2">
        <f>Tabela2[[#This Row],[Proposta
 Inicial]]-Tabela2[[#This Row],[Proposta
 Negociada]]</f>
        <v>0</v>
      </c>
      <c r="Q658" s="4" t="e">
        <f>Tabela2[[#This Row],[Proposta
 Negociada]]/Tabela2[[#This Row],[Proposta
 Inicial]]-1</f>
        <v>#DIV/0!</v>
      </c>
      <c r="S658"/>
    </row>
    <row r="659" spans="1:19" ht="15" customHeight="1">
      <c r="A659" s="9"/>
      <c r="B659" s="9"/>
      <c r="C659" s="1">
        <f>Tabela2[[#This Row],[Data
Pedido]]-Tabela2[[#This Row],[Data Última Aprovação RC]]</f>
        <v>0</v>
      </c>
      <c r="J659" s="1" t="str">
        <f t="shared" ca="1" si="19"/>
        <v/>
      </c>
      <c r="K659" s="11">
        <f>Tabela2[[#This Row],[SLA
Padrão]]-Tabela2[[#This Row],[SLA Atendimento]]</f>
        <v>0</v>
      </c>
      <c r="L659" s="11"/>
      <c r="O659" s="1" t="s">
        <v>30</v>
      </c>
      <c r="P659" s="2">
        <f>Tabela2[[#This Row],[Proposta
 Inicial]]-Tabela2[[#This Row],[Proposta
 Negociada]]</f>
        <v>0</v>
      </c>
      <c r="Q659" s="4" t="e">
        <f>Tabela2[[#This Row],[Proposta
 Negociada]]/Tabela2[[#This Row],[Proposta
 Inicial]]-1</f>
        <v>#DIV/0!</v>
      </c>
      <c r="S659"/>
    </row>
    <row r="660" spans="1:19" ht="15" customHeight="1">
      <c r="A660" s="9"/>
      <c r="B660" s="9"/>
      <c r="C660" s="1">
        <f>Tabela2[[#This Row],[Data
Pedido]]-Tabela2[[#This Row],[Data Última Aprovação RC]]</f>
        <v>0</v>
      </c>
      <c r="J660" s="1" t="str">
        <f t="shared" ca="1" si="19"/>
        <v/>
      </c>
      <c r="K660" s="11">
        <f>Tabela2[[#This Row],[SLA
Padrão]]-Tabela2[[#This Row],[SLA Atendimento]]</f>
        <v>0</v>
      </c>
      <c r="L660" s="11"/>
      <c r="O660" s="1" t="s">
        <v>30</v>
      </c>
      <c r="P660" s="2">
        <f>Tabela2[[#This Row],[Proposta
 Inicial]]-Tabela2[[#This Row],[Proposta
 Negociada]]</f>
        <v>0</v>
      </c>
      <c r="Q660" s="4" t="e">
        <f>Tabela2[[#This Row],[Proposta
 Negociada]]/Tabela2[[#This Row],[Proposta
 Inicial]]-1</f>
        <v>#DIV/0!</v>
      </c>
      <c r="S660"/>
    </row>
    <row r="661" spans="1:19" ht="15" customHeight="1">
      <c r="A661" s="9"/>
      <c r="B661" s="9"/>
      <c r="C661" s="1">
        <f>Tabela2[[#This Row],[Data
Pedido]]-Tabela2[[#This Row],[Data Última Aprovação RC]]</f>
        <v>0</v>
      </c>
      <c r="J661" s="1" t="str">
        <f t="shared" ca="1" si="19"/>
        <v/>
      </c>
      <c r="K661" s="11">
        <f>Tabela2[[#This Row],[SLA
Padrão]]-Tabela2[[#This Row],[SLA Atendimento]]</f>
        <v>0</v>
      </c>
      <c r="L661" s="11"/>
      <c r="O661" s="1" t="s">
        <v>30</v>
      </c>
      <c r="P661" s="2">
        <f>Tabela2[[#This Row],[Proposta
 Inicial]]-Tabela2[[#This Row],[Proposta
 Negociada]]</f>
        <v>0</v>
      </c>
      <c r="Q661" s="4" t="e">
        <f>Tabela2[[#This Row],[Proposta
 Negociada]]/Tabela2[[#This Row],[Proposta
 Inicial]]-1</f>
        <v>#DIV/0!</v>
      </c>
      <c r="S661"/>
    </row>
    <row r="662" spans="1:19" ht="15" customHeight="1">
      <c r="A662" s="9"/>
      <c r="B662" s="9"/>
      <c r="C662" s="1">
        <f>Tabela2[[#This Row],[Data
Pedido]]-Tabela2[[#This Row],[Data Última Aprovação RC]]</f>
        <v>0</v>
      </c>
      <c r="J662" s="1" t="str">
        <f t="shared" ca="1" si="19"/>
        <v/>
      </c>
      <c r="K662" s="11">
        <f>Tabela2[[#This Row],[SLA
Padrão]]-Tabela2[[#This Row],[SLA Atendimento]]</f>
        <v>0</v>
      </c>
      <c r="L662" s="11"/>
      <c r="O662" s="1" t="s">
        <v>30</v>
      </c>
      <c r="P662" s="2">
        <f>Tabela2[[#This Row],[Proposta
 Inicial]]-Tabela2[[#This Row],[Proposta
 Negociada]]</f>
        <v>0</v>
      </c>
      <c r="Q662" s="4" t="e">
        <f>Tabela2[[#This Row],[Proposta
 Negociada]]/Tabela2[[#This Row],[Proposta
 Inicial]]-1</f>
        <v>#DIV/0!</v>
      </c>
      <c r="S662"/>
    </row>
    <row r="663" spans="1:19" ht="15" customHeight="1">
      <c r="A663" s="9"/>
      <c r="B663" s="9"/>
      <c r="C663" s="1">
        <f>Tabela2[[#This Row],[Data
Pedido]]-Tabela2[[#This Row],[Data Última Aprovação RC]]</f>
        <v>0</v>
      </c>
      <c r="J663" s="1" t="str">
        <f t="shared" ca="1" si="19"/>
        <v/>
      </c>
      <c r="K663" s="11">
        <f>Tabela2[[#This Row],[SLA
Padrão]]-Tabela2[[#This Row],[SLA Atendimento]]</f>
        <v>0</v>
      </c>
      <c r="L663" s="11"/>
      <c r="O663" s="1" t="s">
        <v>30</v>
      </c>
      <c r="P663" s="2">
        <f>Tabela2[[#This Row],[Proposta
 Inicial]]-Tabela2[[#This Row],[Proposta
 Negociada]]</f>
        <v>0</v>
      </c>
      <c r="Q663" s="4" t="e">
        <f>Tabela2[[#This Row],[Proposta
 Negociada]]/Tabela2[[#This Row],[Proposta
 Inicial]]-1</f>
        <v>#DIV/0!</v>
      </c>
      <c r="S663"/>
    </row>
    <row r="664" spans="1:19" ht="15" customHeight="1">
      <c r="A664" s="9"/>
      <c r="B664" s="9"/>
      <c r="C664" s="1">
        <f>Tabela2[[#This Row],[Data
Pedido]]-Tabela2[[#This Row],[Data Última Aprovação RC]]</f>
        <v>0</v>
      </c>
      <c r="J664" s="1" t="str">
        <f t="shared" ca="1" si="19"/>
        <v/>
      </c>
      <c r="K664" s="11">
        <f>Tabela2[[#This Row],[SLA
Padrão]]-Tabela2[[#This Row],[SLA Atendimento]]</f>
        <v>0</v>
      </c>
      <c r="L664" s="11"/>
      <c r="O664" s="1" t="s">
        <v>30</v>
      </c>
      <c r="P664" s="2">
        <f>Tabela2[[#This Row],[Proposta
 Inicial]]-Tabela2[[#This Row],[Proposta
 Negociada]]</f>
        <v>0</v>
      </c>
      <c r="Q664" s="4" t="e">
        <f>Tabela2[[#This Row],[Proposta
 Negociada]]/Tabela2[[#This Row],[Proposta
 Inicial]]-1</f>
        <v>#DIV/0!</v>
      </c>
      <c r="S664"/>
    </row>
    <row r="665" spans="1:19" ht="15" customHeight="1">
      <c r="A665" s="9"/>
      <c r="B665" s="9"/>
      <c r="C665" s="1">
        <f>Tabela2[[#This Row],[Data
Pedido]]-Tabela2[[#This Row],[Data Última Aprovação RC]]</f>
        <v>0</v>
      </c>
      <c r="J665" s="1" t="str">
        <f t="shared" ca="1" si="19"/>
        <v/>
      </c>
      <c r="K665" s="11">
        <f>Tabela2[[#This Row],[SLA
Padrão]]-Tabela2[[#This Row],[SLA Atendimento]]</f>
        <v>0</v>
      </c>
      <c r="L665" s="11"/>
      <c r="O665" s="1" t="s">
        <v>30</v>
      </c>
      <c r="P665" s="2">
        <f>Tabela2[[#This Row],[Proposta
 Inicial]]-Tabela2[[#This Row],[Proposta
 Negociada]]</f>
        <v>0</v>
      </c>
      <c r="Q665" s="4" t="e">
        <f>Tabela2[[#This Row],[Proposta
 Negociada]]/Tabela2[[#This Row],[Proposta
 Inicial]]-1</f>
        <v>#DIV/0!</v>
      </c>
      <c r="S665"/>
    </row>
    <row r="666" spans="1:19" ht="15" customHeight="1">
      <c r="A666" s="9"/>
      <c r="B666" s="9"/>
      <c r="C666" s="1">
        <f>Tabela2[[#This Row],[Data
Pedido]]-Tabela2[[#This Row],[Data Última Aprovação RC]]</f>
        <v>0</v>
      </c>
      <c r="J666" s="1" t="str">
        <f t="shared" ca="1" si="19"/>
        <v/>
      </c>
      <c r="K666" s="11">
        <f>Tabela2[[#This Row],[SLA
Padrão]]-Tabela2[[#This Row],[SLA Atendimento]]</f>
        <v>0</v>
      </c>
      <c r="L666" s="11"/>
      <c r="O666" s="1" t="s">
        <v>30</v>
      </c>
      <c r="P666" s="2">
        <f>Tabela2[[#This Row],[Proposta
 Inicial]]-Tabela2[[#This Row],[Proposta
 Negociada]]</f>
        <v>0</v>
      </c>
      <c r="Q666" s="4" t="e">
        <f>Tabela2[[#This Row],[Proposta
 Negociada]]/Tabela2[[#This Row],[Proposta
 Inicial]]-1</f>
        <v>#DIV/0!</v>
      </c>
      <c r="S666"/>
    </row>
    <row r="667" spans="1:19" ht="15" customHeight="1">
      <c r="A667" s="9"/>
      <c r="B667" s="9"/>
      <c r="C667" s="1">
        <f>Tabela2[[#This Row],[Data
Pedido]]-Tabela2[[#This Row],[Data Última Aprovação RC]]</f>
        <v>0</v>
      </c>
      <c r="J667" s="1" t="str">
        <f t="shared" ca="1" si="19"/>
        <v/>
      </c>
      <c r="K667" s="11">
        <f>Tabela2[[#This Row],[SLA
Padrão]]-Tabela2[[#This Row],[SLA Atendimento]]</f>
        <v>0</v>
      </c>
      <c r="L667" s="11"/>
      <c r="O667" s="1" t="s">
        <v>30</v>
      </c>
      <c r="P667" s="2">
        <f>Tabela2[[#This Row],[Proposta
 Inicial]]-Tabela2[[#This Row],[Proposta
 Negociada]]</f>
        <v>0</v>
      </c>
      <c r="Q667" s="4" t="e">
        <f>Tabela2[[#This Row],[Proposta
 Negociada]]/Tabela2[[#This Row],[Proposta
 Inicial]]-1</f>
        <v>#DIV/0!</v>
      </c>
      <c r="S667"/>
    </row>
    <row r="668" spans="1:19" ht="15" customHeight="1">
      <c r="A668" s="9"/>
      <c r="B668" s="9"/>
      <c r="C668" s="1">
        <f>Tabela2[[#This Row],[Data
Pedido]]-Tabela2[[#This Row],[Data Última Aprovação RC]]</f>
        <v>0</v>
      </c>
      <c r="J668" s="1" t="str">
        <f t="shared" ca="1" si="19"/>
        <v/>
      </c>
      <c r="K668" s="11">
        <f>Tabela2[[#This Row],[SLA
Padrão]]-Tabela2[[#This Row],[SLA Atendimento]]</f>
        <v>0</v>
      </c>
      <c r="L668" s="11"/>
      <c r="O668" s="1" t="s">
        <v>30</v>
      </c>
      <c r="P668" s="2">
        <f>Tabela2[[#This Row],[Proposta
 Inicial]]-Tabela2[[#This Row],[Proposta
 Negociada]]</f>
        <v>0</v>
      </c>
      <c r="Q668" s="4" t="e">
        <f>Tabela2[[#This Row],[Proposta
 Negociada]]/Tabela2[[#This Row],[Proposta
 Inicial]]-1</f>
        <v>#DIV/0!</v>
      </c>
      <c r="S668"/>
    </row>
    <row r="669" spans="1:19" ht="15" customHeight="1">
      <c r="A669" s="9"/>
      <c r="B669" s="9"/>
      <c r="C669" s="1">
        <f>Tabela2[[#This Row],[Data
Pedido]]-Tabela2[[#This Row],[Data Última Aprovação RC]]</f>
        <v>0</v>
      </c>
      <c r="J669" s="1" t="str">
        <f t="shared" ca="1" si="19"/>
        <v/>
      </c>
      <c r="K669" s="11">
        <f>Tabela2[[#This Row],[SLA
Padrão]]-Tabela2[[#This Row],[SLA Atendimento]]</f>
        <v>0</v>
      </c>
      <c r="L669" s="11"/>
      <c r="O669" s="1" t="s">
        <v>30</v>
      </c>
      <c r="P669" s="2">
        <f>Tabela2[[#This Row],[Proposta
 Inicial]]-Tabela2[[#This Row],[Proposta
 Negociada]]</f>
        <v>0</v>
      </c>
      <c r="Q669" s="4" t="e">
        <f>Tabela2[[#This Row],[Proposta
 Negociada]]/Tabela2[[#This Row],[Proposta
 Inicial]]-1</f>
        <v>#DIV/0!</v>
      </c>
      <c r="S669"/>
    </row>
    <row r="670" spans="1:19" ht="15" customHeight="1">
      <c r="A670" s="9"/>
      <c r="B670" s="9"/>
      <c r="C670" s="1">
        <f>Tabela2[[#This Row],[Data
Pedido]]-Tabela2[[#This Row],[Data Última Aprovação RC]]</f>
        <v>0</v>
      </c>
      <c r="J670" s="1" t="str">
        <f t="shared" ca="1" si="19"/>
        <v/>
      </c>
      <c r="K670" s="11">
        <f>Tabela2[[#This Row],[SLA
Padrão]]-Tabela2[[#This Row],[SLA Atendimento]]</f>
        <v>0</v>
      </c>
      <c r="L670" s="11"/>
      <c r="O670" s="1" t="s">
        <v>30</v>
      </c>
      <c r="P670" s="2">
        <f>Tabela2[[#This Row],[Proposta
 Inicial]]-Tabela2[[#This Row],[Proposta
 Negociada]]</f>
        <v>0</v>
      </c>
      <c r="Q670" s="4" t="e">
        <f>Tabela2[[#This Row],[Proposta
 Negociada]]/Tabela2[[#This Row],[Proposta
 Inicial]]-1</f>
        <v>#DIV/0!</v>
      </c>
      <c r="S670"/>
    </row>
    <row r="671" spans="1:19" ht="15" customHeight="1">
      <c r="A671" s="9"/>
      <c r="B671" s="9"/>
      <c r="C671" s="1">
        <f>Tabela2[[#This Row],[Data
Pedido]]-Tabela2[[#This Row],[Data Última Aprovação RC]]</f>
        <v>0</v>
      </c>
      <c r="J671" s="1" t="str">
        <f t="shared" ca="1" si="19"/>
        <v/>
      </c>
      <c r="K671" s="11">
        <f>Tabela2[[#This Row],[SLA
Padrão]]-Tabela2[[#This Row],[SLA Atendimento]]</f>
        <v>0</v>
      </c>
      <c r="L671" s="11"/>
      <c r="O671" s="1" t="s">
        <v>30</v>
      </c>
      <c r="P671" s="2">
        <f>Tabela2[[#This Row],[Proposta
 Inicial]]-Tabela2[[#This Row],[Proposta
 Negociada]]</f>
        <v>0</v>
      </c>
      <c r="Q671" s="4" t="e">
        <f>Tabela2[[#This Row],[Proposta
 Negociada]]/Tabela2[[#This Row],[Proposta
 Inicial]]-1</f>
        <v>#DIV/0!</v>
      </c>
      <c r="S671"/>
    </row>
    <row r="672" spans="1:19" ht="15" customHeight="1">
      <c r="A672" s="9"/>
      <c r="B672" s="9"/>
      <c r="C672" s="1">
        <f>Tabela2[[#This Row],[Data
Pedido]]-Tabela2[[#This Row],[Data Última Aprovação RC]]</f>
        <v>0</v>
      </c>
      <c r="J672" s="1" t="str">
        <f t="shared" ca="1" si="19"/>
        <v/>
      </c>
      <c r="K672" s="11">
        <f>Tabela2[[#This Row],[SLA
Padrão]]-Tabela2[[#This Row],[SLA Atendimento]]</f>
        <v>0</v>
      </c>
      <c r="L672" s="11"/>
      <c r="O672" s="1" t="s">
        <v>30</v>
      </c>
      <c r="P672" s="2">
        <f>Tabela2[[#This Row],[Proposta
 Inicial]]-Tabela2[[#This Row],[Proposta
 Negociada]]</f>
        <v>0</v>
      </c>
      <c r="Q672" s="4" t="e">
        <f>Tabela2[[#This Row],[Proposta
 Negociada]]/Tabela2[[#This Row],[Proposta
 Inicial]]-1</f>
        <v>#DIV/0!</v>
      </c>
      <c r="S672"/>
    </row>
    <row r="673" spans="1:19" ht="15" customHeight="1">
      <c r="A673" s="9"/>
      <c r="B673" s="9"/>
      <c r="C673" s="1">
        <f>Tabela2[[#This Row],[Data
Pedido]]-Tabela2[[#This Row],[Data Última Aprovação RC]]</f>
        <v>0</v>
      </c>
      <c r="J673" s="1" t="str">
        <f t="shared" ca="1" si="19"/>
        <v/>
      </c>
      <c r="K673" s="11">
        <f>Tabela2[[#This Row],[SLA
Padrão]]-Tabela2[[#This Row],[SLA Atendimento]]</f>
        <v>0</v>
      </c>
      <c r="L673" s="11"/>
      <c r="O673" s="1" t="s">
        <v>30</v>
      </c>
      <c r="P673" s="2">
        <f>Tabela2[[#This Row],[Proposta
 Inicial]]-Tabela2[[#This Row],[Proposta
 Negociada]]</f>
        <v>0</v>
      </c>
      <c r="Q673" s="4" t="e">
        <f>Tabela2[[#This Row],[Proposta
 Negociada]]/Tabela2[[#This Row],[Proposta
 Inicial]]-1</f>
        <v>#DIV/0!</v>
      </c>
      <c r="S673"/>
    </row>
    <row r="674" spans="1:19" ht="15" customHeight="1">
      <c r="A674" s="9"/>
      <c r="B674" s="9"/>
      <c r="C674" s="1">
        <f>Tabela2[[#This Row],[Data
Pedido]]-Tabela2[[#This Row],[Data Última Aprovação RC]]</f>
        <v>0</v>
      </c>
      <c r="J674" s="1" t="str">
        <f t="shared" ca="1" si="19"/>
        <v/>
      </c>
      <c r="K674" s="11">
        <f>Tabela2[[#This Row],[SLA
Padrão]]-Tabela2[[#This Row],[SLA Atendimento]]</f>
        <v>0</v>
      </c>
      <c r="L674" s="11"/>
      <c r="O674" s="1" t="s">
        <v>30</v>
      </c>
      <c r="P674" s="2">
        <f>Tabela2[[#This Row],[Proposta
 Inicial]]-Tabela2[[#This Row],[Proposta
 Negociada]]</f>
        <v>0</v>
      </c>
      <c r="Q674" s="4" t="e">
        <f>Tabela2[[#This Row],[Proposta
 Negociada]]/Tabela2[[#This Row],[Proposta
 Inicial]]-1</f>
        <v>#DIV/0!</v>
      </c>
      <c r="S674"/>
    </row>
    <row r="675" spans="1:19" ht="15" customHeight="1">
      <c r="A675" s="9"/>
      <c r="B675" s="9"/>
      <c r="C675" s="1">
        <f>Tabela2[[#This Row],[Data
Pedido]]-Tabela2[[#This Row],[Data Última Aprovação RC]]</f>
        <v>0</v>
      </c>
      <c r="J675" s="1" t="str">
        <f t="shared" ca="1" si="19"/>
        <v/>
      </c>
      <c r="K675" s="11">
        <f>Tabela2[[#This Row],[SLA
Padrão]]-Tabela2[[#This Row],[SLA Atendimento]]</f>
        <v>0</v>
      </c>
      <c r="L675" s="11"/>
      <c r="O675" s="1" t="s">
        <v>30</v>
      </c>
      <c r="P675" s="2">
        <f>Tabela2[[#This Row],[Proposta
 Inicial]]-Tabela2[[#This Row],[Proposta
 Negociada]]</f>
        <v>0</v>
      </c>
      <c r="Q675" s="4" t="e">
        <f>Tabela2[[#This Row],[Proposta
 Negociada]]/Tabela2[[#This Row],[Proposta
 Inicial]]-1</f>
        <v>#DIV/0!</v>
      </c>
      <c r="S675"/>
    </row>
    <row r="676" spans="1:19" ht="15" customHeight="1">
      <c r="A676" s="9"/>
      <c r="B676" s="9"/>
      <c r="C676" s="1">
        <f>Tabela2[[#This Row],[Data
Pedido]]-Tabela2[[#This Row],[Data Última Aprovação RC]]</f>
        <v>0</v>
      </c>
      <c r="J676" s="1" t="str">
        <f t="shared" ca="1" si="19"/>
        <v/>
      </c>
      <c r="K676" s="11">
        <f>Tabela2[[#This Row],[SLA
Padrão]]-Tabela2[[#This Row],[SLA Atendimento]]</f>
        <v>0</v>
      </c>
      <c r="L676" s="11"/>
      <c r="O676" s="1" t="s">
        <v>30</v>
      </c>
      <c r="P676" s="2">
        <f>Tabela2[[#This Row],[Proposta
 Inicial]]-Tabela2[[#This Row],[Proposta
 Negociada]]</f>
        <v>0</v>
      </c>
      <c r="Q676" s="4" t="e">
        <f>Tabela2[[#This Row],[Proposta
 Negociada]]/Tabela2[[#This Row],[Proposta
 Inicial]]-1</f>
        <v>#DIV/0!</v>
      </c>
      <c r="S676"/>
    </row>
    <row r="677" spans="1:19" ht="15" customHeight="1">
      <c r="A677" s="9"/>
      <c r="B677" s="9"/>
      <c r="C677" s="1">
        <f>Tabela2[[#This Row],[Data
Pedido]]-Tabela2[[#This Row],[Data Última Aprovação RC]]</f>
        <v>0</v>
      </c>
      <c r="J677" s="1" t="str">
        <f t="shared" ca="1" si="19"/>
        <v/>
      </c>
      <c r="K677" s="11">
        <f>Tabela2[[#This Row],[SLA
Padrão]]-Tabela2[[#This Row],[SLA Atendimento]]</f>
        <v>0</v>
      </c>
      <c r="L677" s="11"/>
      <c r="O677" s="1" t="s">
        <v>30</v>
      </c>
      <c r="P677" s="2">
        <f>Tabela2[[#This Row],[Proposta
 Inicial]]-Tabela2[[#This Row],[Proposta
 Negociada]]</f>
        <v>0</v>
      </c>
      <c r="Q677" s="4" t="e">
        <f>Tabela2[[#This Row],[Proposta
 Negociada]]/Tabela2[[#This Row],[Proposta
 Inicial]]-1</f>
        <v>#DIV/0!</v>
      </c>
      <c r="S677"/>
    </row>
    <row r="678" spans="1:19" ht="15" customHeight="1">
      <c r="A678" s="9"/>
      <c r="B678" s="9"/>
      <c r="C678" s="1">
        <f>Tabela2[[#This Row],[Data
Pedido]]-Tabela2[[#This Row],[Data Última Aprovação RC]]</f>
        <v>0</v>
      </c>
      <c r="J678" s="1" t="str">
        <f t="shared" ca="1" si="19"/>
        <v/>
      </c>
      <c r="K678" s="11">
        <f>Tabela2[[#This Row],[SLA
Padrão]]-Tabela2[[#This Row],[SLA Atendimento]]</f>
        <v>0</v>
      </c>
      <c r="L678" s="11"/>
      <c r="O678" s="1" t="s">
        <v>30</v>
      </c>
      <c r="P678" s="2">
        <f>Tabela2[[#This Row],[Proposta
 Inicial]]-Tabela2[[#This Row],[Proposta
 Negociada]]</f>
        <v>0</v>
      </c>
      <c r="Q678" s="4" t="e">
        <f>Tabela2[[#This Row],[Proposta
 Negociada]]/Tabela2[[#This Row],[Proposta
 Inicial]]-1</f>
        <v>#DIV/0!</v>
      </c>
      <c r="S678"/>
    </row>
    <row r="679" spans="1:19" ht="15" customHeight="1">
      <c r="A679" s="9"/>
      <c r="B679" s="9"/>
      <c r="C679" s="1">
        <f>Tabela2[[#This Row],[Data
Pedido]]-Tabela2[[#This Row],[Data Última Aprovação RC]]</f>
        <v>0</v>
      </c>
      <c r="J679" s="1" t="str">
        <f t="shared" ca="1" si="19"/>
        <v/>
      </c>
      <c r="K679" s="11">
        <f>Tabela2[[#This Row],[SLA
Padrão]]-Tabela2[[#This Row],[SLA Atendimento]]</f>
        <v>0</v>
      </c>
      <c r="L679" s="11"/>
      <c r="O679" s="1" t="s">
        <v>30</v>
      </c>
      <c r="P679" s="2">
        <f>Tabela2[[#This Row],[Proposta
 Inicial]]-Tabela2[[#This Row],[Proposta
 Negociada]]</f>
        <v>0</v>
      </c>
      <c r="Q679" s="4" t="e">
        <f>Tabela2[[#This Row],[Proposta
 Negociada]]/Tabela2[[#This Row],[Proposta
 Inicial]]-1</f>
        <v>#DIV/0!</v>
      </c>
      <c r="S679"/>
    </row>
    <row r="680" spans="1:19" ht="15" customHeight="1">
      <c r="A680" s="9"/>
      <c r="B680" s="9"/>
      <c r="C680" s="1">
        <f>Tabela2[[#This Row],[Data
Pedido]]-Tabela2[[#This Row],[Data Última Aprovação RC]]</f>
        <v>0</v>
      </c>
      <c r="J680" s="1" t="str">
        <f t="shared" ca="1" si="19"/>
        <v/>
      </c>
      <c r="K680" s="11">
        <f>Tabela2[[#This Row],[SLA
Padrão]]-Tabela2[[#This Row],[SLA Atendimento]]</f>
        <v>0</v>
      </c>
      <c r="L680" s="11"/>
      <c r="O680" s="1" t="s">
        <v>30</v>
      </c>
      <c r="P680" s="2">
        <f>Tabela2[[#This Row],[Proposta
 Inicial]]-Tabela2[[#This Row],[Proposta
 Negociada]]</f>
        <v>0</v>
      </c>
      <c r="Q680" s="4" t="e">
        <f>Tabela2[[#This Row],[Proposta
 Negociada]]/Tabela2[[#This Row],[Proposta
 Inicial]]-1</f>
        <v>#DIV/0!</v>
      </c>
      <c r="S680"/>
    </row>
    <row r="681" spans="1:19" ht="15" customHeight="1">
      <c r="A681" s="9"/>
      <c r="B681" s="9"/>
      <c r="C681" s="1">
        <f>Tabela2[[#This Row],[Data
Pedido]]-Tabela2[[#This Row],[Data Última Aprovação RC]]</f>
        <v>0</v>
      </c>
      <c r="J681" s="1" t="str">
        <f t="shared" ca="1" si="19"/>
        <v/>
      </c>
      <c r="K681" s="11">
        <f>Tabela2[[#This Row],[SLA
Padrão]]-Tabela2[[#This Row],[SLA Atendimento]]</f>
        <v>0</v>
      </c>
      <c r="L681" s="11"/>
      <c r="O681" s="1" t="s">
        <v>30</v>
      </c>
      <c r="P681" s="2">
        <f>Tabela2[[#This Row],[Proposta
 Inicial]]-Tabela2[[#This Row],[Proposta
 Negociada]]</f>
        <v>0</v>
      </c>
      <c r="Q681" s="4" t="e">
        <f>Tabela2[[#This Row],[Proposta
 Negociada]]/Tabela2[[#This Row],[Proposta
 Inicial]]-1</f>
        <v>#DIV/0!</v>
      </c>
      <c r="S681"/>
    </row>
    <row r="682" spans="1:19" ht="15" customHeight="1">
      <c r="A682" s="9"/>
      <c r="B682" s="9"/>
      <c r="C682" s="1">
        <f>Tabela2[[#This Row],[Data
Pedido]]-Tabela2[[#This Row],[Data Última Aprovação RC]]</f>
        <v>0</v>
      </c>
      <c r="J682" s="1" t="str">
        <f t="shared" ca="1" si="19"/>
        <v/>
      </c>
      <c r="K682" s="11">
        <f>Tabela2[[#This Row],[SLA
Padrão]]-Tabela2[[#This Row],[SLA Atendimento]]</f>
        <v>0</v>
      </c>
      <c r="L682" s="11"/>
      <c r="O682" s="1" t="s">
        <v>30</v>
      </c>
      <c r="P682" s="2">
        <f>Tabela2[[#This Row],[Proposta
 Inicial]]-Tabela2[[#This Row],[Proposta
 Negociada]]</f>
        <v>0</v>
      </c>
      <c r="Q682" s="4" t="e">
        <f>Tabela2[[#This Row],[Proposta
 Negociada]]/Tabela2[[#This Row],[Proposta
 Inicial]]-1</f>
        <v>#DIV/0!</v>
      </c>
      <c r="S682"/>
    </row>
    <row r="683" spans="1:19" ht="15" customHeight="1">
      <c r="A683" s="9"/>
      <c r="B683" s="9"/>
      <c r="C683" s="1">
        <f>Tabela2[[#This Row],[Data
Pedido]]-Tabela2[[#This Row],[Data Última Aprovação RC]]</f>
        <v>0</v>
      </c>
      <c r="J683" s="1" t="str">
        <f t="shared" ref="J683:J746" ca="1" si="20">IF(A683="","",IF(B683="",IF(TODAY()-A683&gt;I683,"ATRASADA","EM ANDAMENTO"),IF(B683-A683&gt;I683,"ATRASADA","NO PRAZO")))</f>
        <v/>
      </c>
      <c r="K683" s="11">
        <f>Tabela2[[#This Row],[SLA
Padrão]]-Tabela2[[#This Row],[SLA Atendimento]]</f>
        <v>0</v>
      </c>
      <c r="L683" s="11"/>
      <c r="O683" s="1" t="s">
        <v>30</v>
      </c>
      <c r="P683" s="2">
        <f>Tabela2[[#This Row],[Proposta
 Inicial]]-Tabela2[[#This Row],[Proposta
 Negociada]]</f>
        <v>0</v>
      </c>
      <c r="Q683" s="4" t="e">
        <f>Tabela2[[#This Row],[Proposta
 Negociada]]/Tabela2[[#This Row],[Proposta
 Inicial]]-1</f>
        <v>#DIV/0!</v>
      </c>
      <c r="S683"/>
    </row>
    <row r="684" spans="1:19" ht="15" customHeight="1">
      <c r="A684" s="9"/>
      <c r="B684" s="9"/>
      <c r="C684" s="1">
        <f>Tabela2[[#This Row],[Data
Pedido]]-Tabela2[[#This Row],[Data Última Aprovação RC]]</f>
        <v>0</v>
      </c>
      <c r="J684" s="1" t="str">
        <f t="shared" ca="1" si="20"/>
        <v/>
      </c>
      <c r="K684" s="11">
        <f>Tabela2[[#This Row],[SLA
Padrão]]-Tabela2[[#This Row],[SLA Atendimento]]</f>
        <v>0</v>
      </c>
      <c r="L684" s="11"/>
      <c r="O684" s="1" t="s">
        <v>30</v>
      </c>
      <c r="P684" s="2">
        <f>Tabela2[[#This Row],[Proposta
 Inicial]]-Tabela2[[#This Row],[Proposta
 Negociada]]</f>
        <v>0</v>
      </c>
      <c r="Q684" s="4" t="e">
        <f>Tabela2[[#This Row],[Proposta
 Negociada]]/Tabela2[[#This Row],[Proposta
 Inicial]]-1</f>
        <v>#DIV/0!</v>
      </c>
      <c r="S684"/>
    </row>
    <row r="685" spans="1:19" ht="15" customHeight="1">
      <c r="A685" s="9"/>
      <c r="B685" s="9"/>
      <c r="C685" s="1">
        <f>Tabela2[[#This Row],[Data
Pedido]]-Tabela2[[#This Row],[Data Última Aprovação RC]]</f>
        <v>0</v>
      </c>
      <c r="J685" s="1" t="str">
        <f t="shared" ca="1" si="20"/>
        <v/>
      </c>
      <c r="K685" s="11">
        <f>Tabela2[[#This Row],[SLA
Padrão]]-Tabela2[[#This Row],[SLA Atendimento]]</f>
        <v>0</v>
      </c>
      <c r="L685" s="11"/>
      <c r="O685" s="1" t="s">
        <v>30</v>
      </c>
      <c r="P685" s="2">
        <f>Tabela2[[#This Row],[Proposta
 Inicial]]-Tabela2[[#This Row],[Proposta
 Negociada]]</f>
        <v>0</v>
      </c>
      <c r="Q685" s="4" t="e">
        <f>Tabela2[[#This Row],[Proposta
 Negociada]]/Tabela2[[#This Row],[Proposta
 Inicial]]-1</f>
        <v>#DIV/0!</v>
      </c>
      <c r="S685"/>
    </row>
    <row r="686" spans="1:19" ht="15" customHeight="1">
      <c r="A686" s="9"/>
      <c r="B686" s="9"/>
      <c r="C686" s="1">
        <f>Tabela2[[#This Row],[Data
Pedido]]-Tabela2[[#This Row],[Data Última Aprovação RC]]</f>
        <v>0</v>
      </c>
      <c r="J686" s="1" t="str">
        <f t="shared" ca="1" si="20"/>
        <v/>
      </c>
      <c r="K686" s="11">
        <f>Tabela2[[#This Row],[SLA
Padrão]]-Tabela2[[#This Row],[SLA Atendimento]]</f>
        <v>0</v>
      </c>
      <c r="L686" s="11"/>
      <c r="O686" s="1" t="s">
        <v>30</v>
      </c>
      <c r="P686" s="2">
        <f>Tabela2[[#This Row],[Proposta
 Inicial]]-Tabela2[[#This Row],[Proposta
 Negociada]]</f>
        <v>0</v>
      </c>
      <c r="Q686" s="4" t="e">
        <f>Tabela2[[#This Row],[Proposta
 Negociada]]/Tabela2[[#This Row],[Proposta
 Inicial]]-1</f>
        <v>#DIV/0!</v>
      </c>
      <c r="S686"/>
    </row>
    <row r="687" spans="1:19" ht="15" customHeight="1">
      <c r="A687" s="9"/>
      <c r="B687" s="9"/>
      <c r="C687" s="1">
        <f>Tabela2[[#This Row],[Data
Pedido]]-Tabela2[[#This Row],[Data Última Aprovação RC]]</f>
        <v>0</v>
      </c>
      <c r="J687" s="1" t="str">
        <f t="shared" ca="1" si="20"/>
        <v/>
      </c>
      <c r="K687" s="11">
        <f>Tabela2[[#This Row],[SLA
Padrão]]-Tabela2[[#This Row],[SLA Atendimento]]</f>
        <v>0</v>
      </c>
      <c r="L687" s="11"/>
      <c r="O687" s="1" t="s">
        <v>30</v>
      </c>
      <c r="P687" s="2">
        <f>Tabela2[[#This Row],[Proposta
 Inicial]]-Tabela2[[#This Row],[Proposta
 Negociada]]</f>
        <v>0</v>
      </c>
      <c r="Q687" s="4" t="e">
        <f>Tabela2[[#This Row],[Proposta
 Negociada]]/Tabela2[[#This Row],[Proposta
 Inicial]]-1</f>
        <v>#DIV/0!</v>
      </c>
      <c r="S687"/>
    </row>
    <row r="688" spans="1:19" ht="15" customHeight="1">
      <c r="A688" s="9"/>
      <c r="B688" s="9"/>
      <c r="C688" s="1">
        <f>Tabela2[[#This Row],[Data
Pedido]]-Tabela2[[#This Row],[Data Última Aprovação RC]]</f>
        <v>0</v>
      </c>
      <c r="J688" s="1" t="str">
        <f t="shared" ca="1" si="20"/>
        <v/>
      </c>
      <c r="K688" s="11">
        <f>Tabela2[[#This Row],[SLA
Padrão]]-Tabela2[[#This Row],[SLA Atendimento]]</f>
        <v>0</v>
      </c>
      <c r="L688" s="11"/>
      <c r="O688" s="1" t="s">
        <v>30</v>
      </c>
      <c r="P688" s="2">
        <f>Tabela2[[#This Row],[Proposta
 Inicial]]-Tabela2[[#This Row],[Proposta
 Negociada]]</f>
        <v>0</v>
      </c>
      <c r="Q688" s="4" t="e">
        <f>Tabela2[[#This Row],[Proposta
 Negociada]]/Tabela2[[#This Row],[Proposta
 Inicial]]-1</f>
        <v>#DIV/0!</v>
      </c>
      <c r="S688"/>
    </row>
    <row r="689" spans="1:19" ht="15" customHeight="1">
      <c r="A689" s="9"/>
      <c r="B689" s="9"/>
      <c r="C689" s="1">
        <f>Tabela2[[#This Row],[Data
Pedido]]-Tabela2[[#This Row],[Data Última Aprovação RC]]</f>
        <v>0</v>
      </c>
      <c r="J689" s="1" t="str">
        <f t="shared" ca="1" si="20"/>
        <v/>
      </c>
      <c r="K689" s="11">
        <f>Tabela2[[#This Row],[SLA
Padrão]]-Tabela2[[#This Row],[SLA Atendimento]]</f>
        <v>0</v>
      </c>
      <c r="L689" s="11"/>
      <c r="O689" s="1" t="s">
        <v>30</v>
      </c>
      <c r="P689" s="2">
        <f>Tabela2[[#This Row],[Proposta
 Inicial]]-Tabela2[[#This Row],[Proposta
 Negociada]]</f>
        <v>0</v>
      </c>
      <c r="Q689" s="4" t="e">
        <f>Tabela2[[#This Row],[Proposta
 Negociada]]/Tabela2[[#This Row],[Proposta
 Inicial]]-1</f>
        <v>#DIV/0!</v>
      </c>
      <c r="S689"/>
    </row>
    <row r="690" spans="1:19" ht="15" customHeight="1">
      <c r="A690" s="9"/>
      <c r="B690" s="9"/>
      <c r="C690" s="1">
        <f>Tabela2[[#This Row],[Data
Pedido]]-Tabela2[[#This Row],[Data Última Aprovação RC]]</f>
        <v>0</v>
      </c>
      <c r="J690" s="1" t="str">
        <f t="shared" ca="1" si="20"/>
        <v/>
      </c>
      <c r="K690" s="11">
        <f>Tabela2[[#This Row],[SLA
Padrão]]-Tabela2[[#This Row],[SLA Atendimento]]</f>
        <v>0</v>
      </c>
      <c r="L690" s="11"/>
      <c r="O690" s="1" t="s">
        <v>30</v>
      </c>
      <c r="P690" s="2">
        <f>Tabela2[[#This Row],[Proposta
 Inicial]]-Tabela2[[#This Row],[Proposta
 Negociada]]</f>
        <v>0</v>
      </c>
      <c r="Q690" s="4" t="e">
        <f>Tabela2[[#This Row],[Proposta
 Negociada]]/Tabela2[[#This Row],[Proposta
 Inicial]]-1</f>
        <v>#DIV/0!</v>
      </c>
      <c r="S690"/>
    </row>
    <row r="691" spans="1:19" ht="15" customHeight="1">
      <c r="A691" s="9"/>
      <c r="B691" s="9"/>
      <c r="C691" s="1">
        <f>Tabela2[[#This Row],[Data
Pedido]]-Tabela2[[#This Row],[Data Última Aprovação RC]]</f>
        <v>0</v>
      </c>
      <c r="J691" s="1" t="str">
        <f t="shared" ca="1" si="20"/>
        <v/>
      </c>
      <c r="K691" s="11">
        <f>Tabela2[[#This Row],[SLA
Padrão]]-Tabela2[[#This Row],[SLA Atendimento]]</f>
        <v>0</v>
      </c>
      <c r="L691" s="11"/>
      <c r="O691" s="1" t="s">
        <v>30</v>
      </c>
      <c r="P691" s="2">
        <f>Tabela2[[#This Row],[Proposta
 Inicial]]-Tabela2[[#This Row],[Proposta
 Negociada]]</f>
        <v>0</v>
      </c>
      <c r="Q691" s="4" t="e">
        <f>Tabela2[[#This Row],[Proposta
 Negociada]]/Tabela2[[#This Row],[Proposta
 Inicial]]-1</f>
        <v>#DIV/0!</v>
      </c>
      <c r="S691"/>
    </row>
    <row r="692" spans="1:19" ht="15" customHeight="1">
      <c r="A692" s="9"/>
      <c r="B692" s="9"/>
      <c r="C692" s="1">
        <f>Tabela2[[#This Row],[Data
Pedido]]-Tabela2[[#This Row],[Data Última Aprovação RC]]</f>
        <v>0</v>
      </c>
      <c r="J692" s="1" t="str">
        <f t="shared" ca="1" si="20"/>
        <v/>
      </c>
      <c r="K692" s="11">
        <f>Tabela2[[#This Row],[SLA
Padrão]]-Tabela2[[#This Row],[SLA Atendimento]]</f>
        <v>0</v>
      </c>
      <c r="L692" s="11"/>
      <c r="O692" s="1" t="s">
        <v>30</v>
      </c>
      <c r="P692" s="2">
        <f>Tabela2[[#This Row],[Proposta
 Inicial]]-Tabela2[[#This Row],[Proposta
 Negociada]]</f>
        <v>0</v>
      </c>
      <c r="Q692" s="4" t="e">
        <f>Tabela2[[#This Row],[Proposta
 Negociada]]/Tabela2[[#This Row],[Proposta
 Inicial]]-1</f>
        <v>#DIV/0!</v>
      </c>
      <c r="S692"/>
    </row>
    <row r="693" spans="1:19" ht="15" customHeight="1">
      <c r="A693" s="9"/>
      <c r="B693" s="9"/>
      <c r="C693" s="1">
        <f>Tabela2[[#This Row],[Data
Pedido]]-Tabela2[[#This Row],[Data Última Aprovação RC]]</f>
        <v>0</v>
      </c>
      <c r="J693" s="1" t="str">
        <f t="shared" ca="1" si="20"/>
        <v/>
      </c>
      <c r="K693" s="11">
        <f>Tabela2[[#This Row],[SLA
Padrão]]-Tabela2[[#This Row],[SLA Atendimento]]</f>
        <v>0</v>
      </c>
      <c r="L693" s="11"/>
      <c r="O693" s="1" t="s">
        <v>30</v>
      </c>
      <c r="P693" s="2">
        <f>Tabela2[[#This Row],[Proposta
 Inicial]]-Tabela2[[#This Row],[Proposta
 Negociada]]</f>
        <v>0</v>
      </c>
      <c r="Q693" s="4" t="e">
        <f>Tabela2[[#This Row],[Proposta
 Negociada]]/Tabela2[[#This Row],[Proposta
 Inicial]]-1</f>
        <v>#DIV/0!</v>
      </c>
      <c r="S693"/>
    </row>
    <row r="694" spans="1:19" ht="15" customHeight="1">
      <c r="A694" s="9"/>
      <c r="B694" s="9"/>
      <c r="C694" s="1">
        <f>Tabela2[[#This Row],[Data
Pedido]]-Tabela2[[#This Row],[Data Última Aprovação RC]]</f>
        <v>0</v>
      </c>
      <c r="J694" s="1" t="str">
        <f t="shared" ca="1" si="20"/>
        <v/>
      </c>
      <c r="K694" s="11">
        <f>Tabela2[[#This Row],[SLA
Padrão]]-Tabela2[[#This Row],[SLA Atendimento]]</f>
        <v>0</v>
      </c>
      <c r="L694" s="11"/>
      <c r="O694" s="1" t="s">
        <v>30</v>
      </c>
      <c r="P694" s="2">
        <f>Tabela2[[#This Row],[Proposta
 Inicial]]-Tabela2[[#This Row],[Proposta
 Negociada]]</f>
        <v>0</v>
      </c>
      <c r="Q694" s="4" t="e">
        <f>Tabela2[[#This Row],[Proposta
 Negociada]]/Tabela2[[#This Row],[Proposta
 Inicial]]-1</f>
        <v>#DIV/0!</v>
      </c>
      <c r="S694"/>
    </row>
    <row r="695" spans="1:19" ht="15" customHeight="1">
      <c r="A695" s="9"/>
      <c r="B695" s="9"/>
      <c r="C695" s="1">
        <f>Tabela2[[#This Row],[Data
Pedido]]-Tabela2[[#This Row],[Data Última Aprovação RC]]</f>
        <v>0</v>
      </c>
      <c r="J695" s="1" t="str">
        <f t="shared" ca="1" si="20"/>
        <v/>
      </c>
      <c r="K695" s="11">
        <f>Tabela2[[#This Row],[SLA
Padrão]]-Tabela2[[#This Row],[SLA Atendimento]]</f>
        <v>0</v>
      </c>
      <c r="L695" s="11"/>
      <c r="O695" s="1" t="s">
        <v>30</v>
      </c>
      <c r="P695" s="2">
        <f>Tabela2[[#This Row],[Proposta
 Inicial]]-Tabela2[[#This Row],[Proposta
 Negociada]]</f>
        <v>0</v>
      </c>
      <c r="Q695" s="4" t="e">
        <f>Tabela2[[#This Row],[Proposta
 Negociada]]/Tabela2[[#This Row],[Proposta
 Inicial]]-1</f>
        <v>#DIV/0!</v>
      </c>
      <c r="S695"/>
    </row>
    <row r="696" spans="1:19" ht="15" customHeight="1">
      <c r="A696" s="9"/>
      <c r="B696" s="9"/>
      <c r="C696" s="1">
        <f>Tabela2[[#This Row],[Data
Pedido]]-Tabela2[[#This Row],[Data Última Aprovação RC]]</f>
        <v>0</v>
      </c>
      <c r="J696" s="1" t="str">
        <f t="shared" ca="1" si="20"/>
        <v/>
      </c>
      <c r="K696" s="11">
        <f>Tabela2[[#This Row],[SLA
Padrão]]-Tabela2[[#This Row],[SLA Atendimento]]</f>
        <v>0</v>
      </c>
      <c r="L696" s="11"/>
      <c r="O696" s="1" t="s">
        <v>30</v>
      </c>
      <c r="P696" s="2">
        <f>Tabela2[[#This Row],[Proposta
 Inicial]]-Tabela2[[#This Row],[Proposta
 Negociada]]</f>
        <v>0</v>
      </c>
      <c r="Q696" s="4" t="e">
        <f>Tabela2[[#This Row],[Proposta
 Negociada]]/Tabela2[[#This Row],[Proposta
 Inicial]]-1</f>
        <v>#DIV/0!</v>
      </c>
      <c r="S696"/>
    </row>
    <row r="697" spans="1:19" ht="15" customHeight="1">
      <c r="A697" s="9"/>
      <c r="B697" s="9"/>
      <c r="C697" s="1">
        <f>Tabela2[[#This Row],[Data
Pedido]]-Tabela2[[#This Row],[Data Última Aprovação RC]]</f>
        <v>0</v>
      </c>
      <c r="J697" s="1" t="str">
        <f t="shared" ca="1" si="20"/>
        <v/>
      </c>
      <c r="K697" s="11">
        <f>Tabela2[[#This Row],[SLA
Padrão]]-Tabela2[[#This Row],[SLA Atendimento]]</f>
        <v>0</v>
      </c>
      <c r="L697" s="11"/>
      <c r="O697" s="1" t="s">
        <v>30</v>
      </c>
      <c r="P697" s="2">
        <f>Tabela2[[#This Row],[Proposta
 Inicial]]-Tabela2[[#This Row],[Proposta
 Negociada]]</f>
        <v>0</v>
      </c>
      <c r="Q697" s="4" t="e">
        <f>Tabela2[[#This Row],[Proposta
 Negociada]]/Tabela2[[#This Row],[Proposta
 Inicial]]-1</f>
        <v>#DIV/0!</v>
      </c>
      <c r="S697"/>
    </row>
    <row r="698" spans="1:19" ht="15" customHeight="1">
      <c r="A698" s="9"/>
      <c r="B698" s="9"/>
      <c r="C698" s="1">
        <f>Tabela2[[#This Row],[Data
Pedido]]-Tabela2[[#This Row],[Data Última Aprovação RC]]</f>
        <v>0</v>
      </c>
      <c r="J698" s="1" t="str">
        <f t="shared" ca="1" si="20"/>
        <v/>
      </c>
      <c r="K698" s="11">
        <f>Tabela2[[#This Row],[SLA
Padrão]]-Tabela2[[#This Row],[SLA Atendimento]]</f>
        <v>0</v>
      </c>
      <c r="L698" s="11"/>
      <c r="O698" s="1" t="s">
        <v>30</v>
      </c>
      <c r="P698" s="2">
        <f>Tabela2[[#This Row],[Proposta
 Inicial]]-Tabela2[[#This Row],[Proposta
 Negociada]]</f>
        <v>0</v>
      </c>
      <c r="Q698" s="4" t="e">
        <f>Tabela2[[#This Row],[Proposta
 Negociada]]/Tabela2[[#This Row],[Proposta
 Inicial]]-1</f>
        <v>#DIV/0!</v>
      </c>
      <c r="S698"/>
    </row>
    <row r="699" spans="1:19" ht="15" customHeight="1">
      <c r="A699" s="9"/>
      <c r="B699" s="9"/>
      <c r="C699" s="1">
        <f>Tabela2[[#This Row],[Data
Pedido]]-Tabela2[[#This Row],[Data Última Aprovação RC]]</f>
        <v>0</v>
      </c>
      <c r="J699" s="1" t="str">
        <f t="shared" ca="1" si="20"/>
        <v/>
      </c>
      <c r="K699" s="11">
        <f>Tabela2[[#This Row],[SLA
Padrão]]-Tabela2[[#This Row],[SLA Atendimento]]</f>
        <v>0</v>
      </c>
      <c r="L699" s="11"/>
      <c r="O699" s="1" t="s">
        <v>30</v>
      </c>
      <c r="P699" s="2">
        <f>Tabela2[[#This Row],[Proposta
 Inicial]]-Tabela2[[#This Row],[Proposta
 Negociada]]</f>
        <v>0</v>
      </c>
      <c r="Q699" s="4" t="e">
        <f>Tabela2[[#This Row],[Proposta
 Negociada]]/Tabela2[[#This Row],[Proposta
 Inicial]]-1</f>
        <v>#DIV/0!</v>
      </c>
      <c r="S699"/>
    </row>
    <row r="700" spans="1:19" ht="15" customHeight="1">
      <c r="A700" s="9"/>
      <c r="B700" s="9"/>
      <c r="C700" s="1">
        <f>Tabela2[[#This Row],[Data
Pedido]]-Tabela2[[#This Row],[Data Última Aprovação RC]]</f>
        <v>0</v>
      </c>
      <c r="J700" s="1" t="str">
        <f t="shared" ca="1" si="20"/>
        <v/>
      </c>
      <c r="K700" s="11">
        <f>Tabela2[[#This Row],[SLA
Padrão]]-Tabela2[[#This Row],[SLA Atendimento]]</f>
        <v>0</v>
      </c>
      <c r="L700" s="11"/>
      <c r="O700" s="1" t="s">
        <v>30</v>
      </c>
      <c r="P700" s="2">
        <f>Tabela2[[#This Row],[Proposta
 Inicial]]-Tabela2[[#This Row],[Proposta
 Negociada]]</f>
        <v>0</v>
      </c>
      <c r="Q700" s="4" t="e">
        <f>Tabela2[[#This Row],[Proposta
 Negociada]]/Tabela2[[#This Row],[Proposta
 Inicial]]-1</f>
        <v>#DIV/0!</v>
      </c>
      <c r="S700"/>
    </row>
    <row r="701" spans="1:19" ht="15" customHeight="1">
      <c r="A701" s="9"/>
      <c r="B701" s="9"/>
      <c r="C701" s="1">
        <f>Tabela2[[#This Row],[Data
Pedido]]-Tabela2[[#This Row],[Data Última Aprovação RC]]</f>
        <v>0</v>
      </c>
      <c r="J701" s="1" t="str">
        <f t="shared" ca="1" si="20"/>
        <v/>
      </c>
      <c r="K701" s="11">
        <f>Tabela2[[#This Row],[SLA
Padrão]]-Tabela2[[#This Row],[SLA Atendimento]]</f>
        <v>0</v>
      </c>
      <c r="L701" s="11"/>
      <c r="O701" s="1" t="s">
        <v>30</v>
      </c>
      <c r="P701" s="2">
        <f>Tabela2[[#This Row],[Proposta
 Inicial]]-Tabela2[[#This Row],[Proposta
 Negociada]]</f>
        <v>0</v>
      </c>
      <c r="Q701" s="4" t="e">
        <f>Tabela2[[#This Row],[Proposta
 Negociada]]/Tabela2[[#This Row],[Proposta
 Inicial]]-1</f>
        <v>#DIV/0!</v>
      </c>
      <c r="S701"/>
    </row>
    <row r="702" spans="1:19" ht="15" customHeight="1">
      <c r="A702" s="9"/>
      <c r="B702" s="9"/>
      <c r="C702" s="1">
        <f>Tabela2[[#This Row],[Data
Pedido]]-Tabela2[[#This Row],[Data Última Aprovação RC]]</f>
        <v>0</v>
      </c>
      <c r="J702" s="1" t="str">
        <f t="shared" ca="1" si="20"/>
        <v/>
      </c>
      <c r="K702" s="11">
        <f>Tabela2[[#This Row],[SLA
Padrão]]-Tabela2[[#This Row],[SLA Atendimento]]</f>
        <v>0</v>
      </c>
      <c r="L702" s="11"/>
      <c r="O702" s="1" t="s">
        <v>30</v>
      </c>
      <c r="P702" s="2">
        <f>Tabela2[[#This Row],[Proposta
 Inicial]]-Tabela2[[#This Row],[Proposta
 Negociada]]</f>
        <v>0</v>
      </c>
      <c r="Q702" s="4" t="e">
        <f>Tabela2[[#This Row],[Proposta
 Negociada]]/Tabela2[[#This Row],[Proposta
 Inicial]]-1</f>
        <v>#DIV/0!</v>
      </c>
      <c r="S702"/>
    </row>
    <row r="703" spans="1:19" ht="15" customHeight="1">
      <c r="A703" s="9"/>
      <c r="B703" s="9"/>
      <c r="C703" s="1">
        <f>Tabela2[[#This Row],[Data
Pedido]]-Tabela2[[#This Row],[Data Última Aprovação RC]]</f>
        <v>0</v>
      </c>
      <c r="J703" s="1" t="str">
        <f t="shared" ca="1" si="20"/>
        <v/>
      </c>
      <c r="K703" s="11">
        <f>Tabela2[[#This Row],[SLA
Padrão]]-Tabela2[[#This Row],[SLA Atendimento]]</f>
        <v>0</v>
      </c>
      <c r="L703" s="11"/>
      <c r="O703" s="1" t="s">
        <v>30</v>
      </c>
      <c r="P703" s="2">
        <f>Tabela2[[#This Row],[Proposta
 Inicial]]-Tabela2[[#This Row],[Proposta
 Negociada]]</f>
        <v>0</v>
      </c>
      <c r="Q703" s="4" t="e">
        <f>Tabela2[[#This Row],[Proposta
 Negociada]]/Tabela2[[#This Row],[Proposta
 Inicial]]-1</f>
        <v>#DIV/0!</v>
      </c>
      <c r="S703"/>
    </row>
    <row r="704" spans="1:19" ht="15" customHeight="1">
      <c r="A704" s="9"/>
      <c r="B704" s="9"/>
      <c r="C704" s="1">
        <f>Tabela2[[#This Row],[Data
Pedido]]-Tabela2[[#This Row],[Data Última Aprovação RC]]</f>
        <v>0</v>
      </c>
      <c r="J704" s="1" t="str">
        <f t="shared" ca="1" si="20"/>
        <v/>
      </c>
      <c r="K704" s="11">
        <f>Tabela2[[#This Row],[SLA
Padrão]]-Tabela2[[#This Row],[SLA Atendimento]]</f>
        <v>0</v>
      </c>
      <c r="L704" s="11"/>
      <c r="O704" s="1" t="s">
        <v>30</v>
      </c>
      <c r="P704" s="2">
        <f>Tabela2[[#This Row],[Proposta
 Inicial]]-Tabela2[[#This Row],[Proposta
 Negociada]]</f>
        <v>0</v>
      </c>
      <c r="Q704" s="4" t="e">
        <f>Tabela2[[#This Row],[Proposta
 Negociada]]/Tabela2[[#This Row],[Proposta
 Inicial]]-1</f>
        <v>#DIV/0!</v>
      </c>
      <c r="S704"/>
    </row>
    <row r="705" spans="1:19" ht="15" customHeight="1">
      <c r="A705" s="9"/>
      <c r="B705" s="9"/>
      <c r="C705" s="1">
        <f>Tabela2[[#This Row],[Data
Pedido]]-Tabela2[[#This Row],[Data Última Aprovação RC]]</f>
        <v>0</v>
      </c>
      <c r="J705" s="1" t="str">
        <f t="shared" ca="1" si="20"/>
        <v/>
      </c>
      <c r="K705" s="11">
        <f>Tabela2[[#This Row],[SLA
Padrão]]-Tabela2[[#This Row],[SLA Atendimento]]</f>
        <v>0</v>
      </c>
      <c r="L705" s="11"/>
      <c r="O705" s="1" t="s">
        <v>30</v>
      </c>
      <c r="P705" s="2">
        <f>Tabela2[[#This Row],[Proposta
 Inicial]]-Tabela2[[#This Row],[Proposta
 Negociada]]</f>
        <v>0</v>
      </c>
      <c r="Q705" s="4" t="e">
        <f>Tabela2[[#This Row],[Proposta
 Negociada]]/Tabela2[[#This Row],[Proposta
 Inicial]]-1</f>
        <v>#DIV/0!</v>
      </c>
      <c r="S705"/>
    </row>
    <row r="706" spans="1:19" ht="15" customHeight="1">
      <c r="A706" s="9"/>
      <c r="B706" s="9"/>
      <c r="C706" s="1">
        <f>Tabela2[[#This Row],[Data
Pedido]]-Tabela2[[#This Row],[Data Última Aprovação RC]]</f>
        <v>0</v>
      </c>
      <c r="J706" s="1" t="str">
        <f t="shared" ca="1" si="20"/>
        <v/>
      </c>
      <c r="K706" s="11">
        <f>Tabela2[[#This Row],[SLA
Padrão]]-Tabela2[[#This Row],[SLA Atendimento]]</f>
        <v>0</v>
      </c>
      <c r="L706" s="11"/>
      <c r="O706" s="1" t="s">
        <v>30</v>
      </c>
      <c r="P706" s="2">
        <f>Tabela2[[#This Row],[Proposta
 Inicial]]-Tabela2[[#This Row],[Proposta
 Negociada]]</f>
        <v>0</v>
      </c>
      <c r="Q706" s="4" t="e">
        <f>Tabela2[[#This Row],[Proposta
 Negociada]]/Tabela2[[#This Row],[Proposta
 Inicial]]-1</f>
        <v>#DIV/0!</v>
      </c>
      <c r="S706"/>
    </row>
    <row r="707" spans="1:19" ht="15" customHeight="1">
      <c r="A707" s="9"/>
      <c r="B707" s="9"/>
      <c r="C707" s="1">
        <f>Tabela2[[#This Row],[Data
Pedido]]-Tabela2[[#This Row],[Data Última Aprovação RC]]</f>
        <v>0</v>
      </c>
      <c r="J707" s="1" t="str">
        <f t="shared" ca="1" si="20"/>
        <v/>
      </c>
      <c r="K707" s="11">
        <f>Tabela2[[#This Row],[SLA
Padrão]]-Tabela2[[#This Row],[SLA Atendimento]]</f>
        <v>0</v>
      </c>
      <c r="L707" s="11"/>
      <c r="O707" s="1" t="s">
        <v>30</v>
      </c>
      <c r="P707" s="2">
        <f>Tabela2[[#This Row],[Proposta
 Inicial]]-Tabela2[[#This Row],[Proposta
 Negociada]]</f>
        <v>0</v>
      </c>
      <c r="Q707" s="4" t="e">
        <f>Tabela2[[#This Row],[Proposta
 Negociada]]/Tabela2[[#This Row],[Proposta
 Inicial]]-1</f>
        <v>#DIV/0!</v>
      </c>
      <c r="S707"/>
    </row>
    <row r="708" spans="1:19" ht="15" customHeight="1">
      <c r="A708" s="9"/>
      <c r="B708" s="9"/>
      <c r="C708" s="1">
        <f>Tabela2[[#This Row],[Data
Pedido]]-Tabela2[[#This Row],[Data Última Aprovação RC]]</f>
        <v>0</v>
      </c>
      <c r="J708" s="1" t="str">
        <f t="shared" ca="1" si="20"/>
        <v/>
      </c>
      <c r="K708" s="11">
        <f>Tabela2[[#This Row],[SLA
Padrão]]-Tabela2[[#This Row],[SLA Atendimento]]</f>
        <v>0</v>
      </c>
      <c r="L708" s="11"/>
      <c r="O708" s="1" t="s">
        <v>30</v>
      </c>
      <c r="P708" s="2">
        <f>Tabela2[[#This Row],[Proposta
 Inicial]]-Tabela2[[#This Row],[Proposta
 Negociada]]</f>
        <v>0</v>
      </c>
      <c r="Q708" s="4" t="e">
        <f>Tabela2[[#This Row],[Proposta
 Negociada]]/Tabela2[[#This Row],[Proposta
 Inicial]]-1</f>
        <v>#DIV/0!</v>
      </c>
      <c r="S708"/>
    </row>
    <row r="709" spans="1:19" ht="15" customHeight="1">
      <c r="A709" s="9"/>
      <c r="B709" s="9"/>
      <c r="C709" s="1">
        <f>Tabela2[[#This Row],[Data
Pedido]]-Tabela2[[#This Row],[Data Última Aprovação RC]]</f>
        <v>0</v>
      </c>
      <c r="J709" s="1" t="str">
        <f t="shared" ca="1" si="20"/>
        <v/>
      </c>
      <c r="K709" s="11">
        <f>Tabela2[[#This Row],[SLA
Padrão]]-Tabela2[[#This Row],[SLA Atendimento]]</f>
        <v>0</v>
      </c>
      <c r="L709" s="11"/>
      <c r="O709" s="1" t="s">
        <v>30</v>
      </c>
      <c r="P709" s="2">
        <f>Tabela2[[#This Row],[Proposta
 Inicial]]-Tabela2[[#This Row],[Proposta
 Negociada]]</f>
        <v>0</v>
      </c>
      <c r="Q709" s="4" t="e">
        <f>Tabela2[[#This Row],[Proposta
 Negociada]]/Tabela2[[#This Row],[Proposta
 Inicial]]-1</f>
        <v>#DIV/0!</v>
      </c>
      <c r="S709"/>
    </row>
    <row r="710" spans="1:19" ht="15" customHeight="1">
      <c r="A710" s="9"/>
      <c r="B710" s="9"/>
      <c r="C710" s="1">
        <f>Tabela2[[#This Row],[Data
Pedido]]-Tabela2[[#This Row],[Data Última Aprovação RC]]</f>
        <v>0</v>
      </c>
      <c r="J710" s="1" t="str">
        <f t="shared" ca="1" si="20"/>
        <v/>
      </c>
      <c r="K710" s="11">
        <f>Tabela2[[#This Row],[SLA
Padrão]]-Tabela2[[#This Row],[SLA Atendimento]]</f>
        <v>0</v>
      </c>
      <c r="L710" s="11"/>
      <c r="O710" s="1" t="s">
        <v>30</v>
      </c>
      <c r="P710" s="2">
        <f>Tabela2[[#This Row],[Proposta
 Inicial]]-Tabela2[[#This Row],[Proposta
 Negociada]]</f>
        <v>0</v>
      </c>
      <c r="Q710" s="4" t="e">
        <f>Tabela2[[#This Row],[Proposta
 Negociada]]/Tabela2[[#This Row],[Proposta
 Inicial]]-1</f>
        <v>#DIV/0!</v>
      </c>
      <c r="S710"/>
    </row>
    <row r="711" spans="1:19" ht="15" customHeight="1">
      <c r="A711" s="9"/>
      <c r="B711" s="9"/>
      <c r="C711" s="1">
        <f>Tabela2[[#This Row],[Data
Pedido]]-Tabela2[[#This Row],[Data Última Aprovação RC]]</f>
        <v>0</v>
      </c>
      <c r="J711" s="1" t="str">
        <f t="shared" ca="1" si="20"/>
        <v/>
      </c>
      <c r="K711" s="11">
        <f>Tabela2[[#This Row],[SLA
Padrão]]-Tabela2[[#This Row],[SLA Atendimento]]</f>
        <v>0</v>
      </c>
      <c r="L711" s="11"/>
      <c r="O711" s="1" t="s">
        <v>30</v>
      </c>
      <c r="P711" s="2">
        <f>Tabela2[[#This Row],[Proposta
 Inicial]]-Tabela2[[#This Row],[Proposta
 Negociada]]</f>
        <v>0</v>
      </c>
      <c r="Q711" s="4" t="e">
        <f>Tabela2[[#This Row],[Proposta
 Negociada]]/Tabela2[[#This Row],[Proposta
 Inicial]]-1</f>
        <v>#DIV/0!</v>
      </c>
      <c r="S711"/>
    </row>
    <row r="712" spans="1:19" ht="15" customHeight="1">
      <c r="A712" s="9"/>
      <c r="B712" s="9"/>
      <c r="C712" s="1">
        <f>Tabela2[[#This Row],[Data
Pedido]]-Tabela2[[#This Row],[Data Última Aprovação RC]]</f>
        <v>0</v>
      </c>
      <c r="J712" s="1" t="str">
        <f t="shared" ca="1" si="20"/>
        <v/>
      </c>
      <c r="K712" s="11">
        <f>Tabela2[[#This Row],[SLA
Padrão]]-Tabela2[[#This Row],[SLA Atendimento]]</f>
        <v>0</v>
      </c>
      <c r="L712" s="11"/>
      <c r="O712" s="1" t="s">
        <v>30</v>
      </c>
      <c r="P712" s="2">
        <f>Tabela2[[#This Row],[Proposta
 Inicial]]-Tabela2[[#This Row],[Proposta
 Negociada]]</f>
        <v>0</v>
      </c>
      <c r="Q712" s="4" t="e">
        <f>Tabela2[[#This Row],[Proposta
 Negociada]]/Tabela2[[#This Row],[Proposta
 Inicial]]-1</f>
        <v>#DIV/0!</v>
      </c>
      <c r="S712"/>
    </row>
    <row r="713" spans="1:19" ht="15" customHeight="1">
      <c r="A713" s="9"/>
      <c r="B713" s="9"/>
      <c r="C713" s="1">
        <f>Tabela2[[#This Row],[Data
Pedido]]-Tabela2[[#This Row],[Data Última Aprovação RC]]</f>
        <v>0</v>
      </c>
      <c r="J713" s="1" t="str">
        <f t="shared" ca="1" si="20"/>
        <v/>
      </c>
      <c r="K713" s="11">
        <f>Tabela2[[#This Row],[SLA
Padrão]]-Tabela2[[#This Row],[SLA Atendimento]]</f>
        <v>0</v>
      </c>
      <c r="L713" s="11"/>
      <c r="O713" s="1" t="s">
        <v>30</v>
      </c>
      <c r="P713" s="2">
        <f>Tabela2[[#This Row],[Proposta
 Inicial]]-Tabela2[[#This Row],[Proposta
 Negociada]]</f>
        <v>0</v>
      </c>
      <c r="Q713" s="4" t="e">
        <f>Tabela2[[#This Row],[Proposta
 Negociada]]/Tabela2[[#This Row],[Proposta
 Inicial]]-1</f>
        <v>#DIV/0!</v>
      </c>
      <c r="S713"/>
    </row>
    <row r="714" spans="1:19" ht="15" customHeight="1">
      <c r="A714" s="9"/>
      <c r="B714" s="9"/>
      <c r="C714" s="1">
        <f>Tabela2[[#This Row],[Data
Pedido]]-Tabela2[[#This Row],[Data Última Aprovação RC]]</f>
        <v>0</v>
      </c>
      <c r="J714" s="1" t="str">
        <f t="shared" ca="1" si="20"/>
        <v/>
      </c>
      <c r="K714" s="11">
        <f>Tabela2[[#This Row],[SLA
Padrão]]-Tabela2[[#This Row],[SLA Atendimento]]</f>
        <v>0</v>
      </c>
      <c r="L714" s="11"/>
      <c r="O714" s="1" t="s">
        <v>30</v>
      </c>
      <c r="P714" s="2">
        <f>Tabela2[[#This Row],[Proposta
 Inicial]]-Tabela2[[#This Row],[Proposta
 Negociada]]</f>
        <v>0</v>
      </c>
      <c r="Q714" s="4" t="e">
        <f>Tabela2[[#This Row],[Proposta
 Negociada]]/Tabela2[[#This Row],[Proposta
 Inicial]]-1</f>
        <v>#DIV/0!</v>
      </c>
      <c r="S714"/>
    </row>
    <row r="715" spans="1:19" ht="15" customHeight="1">
      <c r="A715" s="9"/>
      <c r="B715" s="9"/>
      <c r="C715" s="1">
        <f>Tabela2[[#This Row],[Data
Pedido]]-Tabela2[[#This Row],[Data Última Aprovação RC]]</f>
        <v>0</v>
      </c>
      <c r="J715" s="1" t="str">
        <f t="shared" ca="1" si="20"/>
        <v/>
      </c>
      <c r="K715" s="11">
        <f>Tabela2[[#This Row],[SLA
Padrão]]-Tabela2[[#This Row],[SLA Atendimento]]</f>
        <v>0</v>
      </c>
      <c r="L715" s="11"/>
      <c r="O715" s="1" t="s">
        <v>30</v>
      </c>
      <c r="P715" s="2">
        <f>Tabela2[[#This Row],[Proposta
 Inicial]]-Tabela2[[#This Row],[Proposta
 Negociada]]</f>
        <v>0</v>
      </c>
      <c r="Q715" s="4" t="e">
        <f>Tabela2[[#This Row],[Proposta
 Negociada]]/Tabela2[[#This Row],[Proposta
 Inicial]]-1</f>
        <v>#DIV/0!</v>
      </c>
      <c r="S715"/>
    </row>
    <row r="716" spans="1:19" ht="15" customHeight="1">
      <c r="A716" s="9"/>
      <c r="B716" s="9"/>
      <c r="C716" s="1">
        <f>Tabela2[[#This Row],[Data
Pedido]]-Tabela2[[#This Row],[Data Última Aprovação RC]]</f>
        <v>0</v>
      </c>
      <c r="J716" s="1" t="str">
        <f t="shared" ca="1" si="20"/>
        <v/>
      </c>
      <c r="K716" s="11">
        <f>Tabela2[[#This Row],[SLA
Padrão]]-Tabela2[[#This Row],[SLA Atendimento]]</f>
        <v>0</v>
      </c>
      <c r="L716" s="11"/>
      <c r="O716" s="1" t="s">
        <v>30</v>
      </c>
      <c r="P716" s="2">
        <f>Tabela2[[#This Row],[Proposta
 Inicial]]-Tabela2[[#This Row],[Proposta
 Negociada]]</f>
        <v>0</v>
      </c>
      <c r="Q716" s="4" t="e">
        <f>Tabela2[[#This Row],[Proposta
 Negociada]]/Tabela2[[#This Row],[Proposta
 Inicial]]-1</f>
        <v>#DIV/0!</v>
      </c>
      <c r="S716"/>
    </row>
    <row r="717" spans="1:19" ht="15" customHeight="1">
      <c r="A717" s="9"/>
      <c r="B717" s="9"/>
      <c r="C717" s="1">
        <f>Tabela2[[#This Row],[Data
Pedido]]-Tabela2[[#This Row],[Data Última Aprovação RC]]</f>
        <v>0</v>
      </c>
      <c r="J717" s="1" t="str">
        <f t="shared" ca="1" si="20"/>
        <v/>
      </c>
      <c r="K717" s="11">
        <f>Tabela2[[#This Row],[SLA
Padrão]]-Tabela2[[#This Row],[SLA Atendimento]]</f>
        <v>0</v>
      </c>
      <c r="L717" s="11"/>
      <c r="O717" s="1" t="s">
        <v>30</v>
      </c>
      <c r="P717" s="2">
        <f>Tabela2[[#This Row],[Proposta
 Inicial]]-Tabela2[[#This Row],[Proposta
 Negociada]]</f>
        <v>0</v>
      </c>
      <c r="Q717" s="4" t="e">
        <f>Tabela2[[#This Row],[Proposta
 Negociada]]/Tabela2[[#This Row],[Proposta
 Inicial]]-1</f>
        <v>#DIV/0!</v>
      </c>
      <c r="S717"/>
    </row>
    <row r="718" spans="1:19" ht="15" customHeight="1">
      <c r="A718" s="9"/>
      <c r="B718" s="9"/>
      <c r="C718" s="1">
        <f>Tabela2[[#This Row],[Data
Pedido]]-Tabela2[[#This Row],[Data Última Aprovação RC]]</f>
        <v>0</v>
      </c>
      <c r="J718" s="1" t="str">
        <f t="shared" ca="1" si="20"/>
        <v/>
      </c>
      <c r="K718" s="11">
        <f>Tabela2[[#This Row],[SLA
Padrão]]-Tabela2[[#This Row],[SLA Atendimento]]</f>
        <v>0</v>
      </c>
      <c r="L718" s="11"/>
      <c r="O718" s="1" t="s">
        <v>30</v>
      </c>
      <c r="P718" s="2">
        <f>Tabela2[[#This Row],[Proposta
 Inicial]]-Tabela2[[#This Row],[Proposta
 Negociada]]</f>
        <v>0</v>
      </c>
      <c r="Q718" s="4" t="e">
        <f>Tabela2[[#This Row],[Proposta
 Negociada]]/Tabela2[[#This Row],[Proposta
 Inicial]]-1</f>
        <v>#DIV/0!</v>
      </c>
      <c r="S718"/>
    </row>
    <row r="719" spans="1:19" ht="15" customHeight="1">
      <c r="A719" s="9"/>
      <c r="B719" s="9"/>
      <c r="C719" s="1">
        <f>Tabela2[[#This Row],[Data
Pedido]]-Tabela2[[#This Row],[Data Última Aprovação RC]]</f>
        <v>0</v>
      </c>
      <c r="J719" s="1" t="str">
        <f t="shared" ca="1" si="20"/>
        <v/>
      </c>
      <c r="K719" s="11">
        <f>Tabela2[[#This Row],[SLA
Padrão]]-Tabela2[[#This Row],[SLA Atendimento]]</f>
        <v>0</v>
      </c>
      <c r="L719" s="11"/>
      <c r="O719" s="1" t="s">
        <v>30</v>
      </c>
      <c r="P719" s="2">
        <f>Tabela2[[#This Row],[Proposta
 Inicial]]-Tabela2[[#This Row],[Proposta
 Negociada]]</f>
        <v>0</v>
      </c>
      <c r="Q719" s="4" t="e">
        <f>Tabela2[[#This Row],[Proposta
 Negociada]]/Tabela2[[#This Row],[Proposta
 Inicial]]-1</f>
        <v>#DIV/0!</v>
      </c>
      <c r="S719"/>
    </row>
    <row r="720" spans="1:19" ht="15" customHeight="1">
      <c r="A720" s="9"/>
      <c r="B720" s="9"/>
      <c r="C720" s="1">
        <f>Tabela2[[#This Row],[Data
Pedido]]-Tabela2[[#This Row],[Data Última Aprovação RC]]</f>
        <v>0</v>
      </c>
      <c r="J720" s="1" t="str">
        <f t="shared" ca="1" si="20"/>
        <v/>
      </c>
      <c r="K720" s="11">
        <f>Tabela2[[#This Row],[SLA
Padrão]]-Tabela2[[#This Row],[SLA Atendimento]]</f>
        <v>0</v>
      </c>
      <c r="L720" s="11"/>
      <c r="O720" s="1" t="s">
        <v>30</v>
      </c>
      <c r="P720" s="2">
        <f>Tabela2[[#This Row],[Proposta
 Inicial]]-Tabela2[[#This Row],[Proposta
 Negociada]]</f>
        <v>0</v>
      </c>
      <c r="Q720" s="4" t="e">
        <f>Tabela2[[#This Row],[Proposta
 Negociada]]/Tabela2[[#This Row],[Proposta
 Inicial]]-1</f>
        <v>#DIV/0!</v>
      </c>
      <c r="S720"/>
    </row>
    <row r="721" spans="1:19" ht="15" customHeight="1">
      <c r="A721" s="9"/>
      <c r="B721" s="9"/>
      <c r="C721" s="1">
        <f>Tabela2[[#This Row],[Data
Pedido]]-Tabela2[[#This Row],[Data Última Aprovação RC]]</f>
        <v>0</v>
      </c>
      <c r="J721" s="1" t="str">
        <f t="shared" ca="1" si="20"/>
        <v/>
      </c>
      <c r="K721" s="11">
        <f>Tabela2[[#This Row],[SLA
Padrão]]-Tabela2[[#This Row],[SLA Atendimento]]</f>
        <v>0</v>
      </c>
      <c r="L721" s="11"/>
      <c r="O721" s="1" t="s">
        <v>30</v>
      </c>
      <c r="P721" s="2">
        <f>Tabela2[[#This Row],[Proposta
 Inicial]]-Tabela2[[#This Row],[Proposta
 Negociada]]</f>
        <v>0</v>
      </c>
      <c r="Q721" s="4" t="e">
        <f>Tabela2[[#This Row],[Proposta
 Negociada]]/Tabela2[[#This Row],[Proposta
 Inicial]]-1</f>
        <v>#DIV/0!</v>
      </c>
      <c r="S721"/>
    </row>
    <row r="722" spans="1:19" ht="15" customHeight="1">
      <c r="A722" s="9"/>
      <c r="B722" s="9"/>
      <c r="C722" s="1">
        <f>Tabela2[[#This Row],[Data
Pedido]]-Tabela2[[#This Row],[Data Última Aprovação RC]]</f>
        <v>0</v>
      </c>
      <c r="J722" s="1" t="str">
        <f t="shared" ca="1" si="20"/>
        <v/>
      </c>
      <c r="K722" s="11">
        <f>Tabela2[[#This Row],[SLA
Padrão]]-Tabela2[[#This Row],[SLA Atendimento]]</f>
        <v>0</v>
      </c>
      <c r="L722" s="11"/>
      <c r="O722" s="1" t="s">
        <v>30</v>
      </c>
      <c r="P722" s="2">
        <f>Tabela2[[#This Row],[Proposta
 Inicial]]-Tabela2[[#This Row],[Proposta
 Negociada]]</f>
        <v>0</v>
      </c>
      <c r="Q722" s="4" t="e">
        <f>Tabela2[[#This Row],[Proposta
 Negociada]]/Tabela2[[#This Row],[Proposta
 Inicial]]-1</f>
        <v>#DIV/0!</v>
      </c>
      <c r="S722"/>
    </row>
    <row r="723" spans="1:19" ht="15" customHeight="1">
      <c r="A723" s="9"/>
      <c r="B723" s="9"/>
      <c r="C723" s="1">
        <f>Tabela2[[#This Row],[Data
Pedido]]-Tabela2[[#This Row],[Data Última Aprovação RC]]</f>
        <v>0</v>
      </c>
      <c r="J723" s="1" t="str">
        <f t="shared" ca="1" si="20"/>
        <v/>
      </c>
      <c r="K723" s="11">
        <f>Tabela2[[#This Row],[SLA
Padrão]]-Tabela2[[#This Row],[SLA Atendimento]]</f>
        <v>0</v>
      </c>
      <c r="L723" s="11"/>
      <c r="O723" s="1" t="s">
        <v>30</v>
      </c>
      <c r="P723" s="2">
        <f>Tabela2[[#This Row],[Proposta
 Inicial]]-Tabela2[[#This Row],[Proposta
 Negociada]]</f>
        <v>0</v>
      </c>
      <c r="Q723" s="4" t="e">
        <f>Tabela2[[#This Row],[Proposta
 Negociada]]/Tabela2[[#This Row],[Proposta
 Inicial]]-1</f>
        <v>#DIV/0!</v>
      </c>
      <c r="S723"/>
    </row>
    <row r="724" spans="1:19" ht="15" customHeight="1">
      <c r="A724" s="9"/>
      <c r="B724" s="9"/>
      <c r="C724" s="1">
        <f>Tabela2[[#This Row],[Data
Pedido]]-Tabela2[[#This Row],[Data Última Aprovação RC]]</f>
        <v>0</v>
      </c>
      <c r="J724" s="1" t="str">
        <f t="shared" ca="1" si="20"/>
        <v/>
      </c>
      <c r="K724" s="11">
        <f>Tabela2[[#This Row],[SLA
Padrão]]-Tabela2[[#This Row],[SLA Atendimento]]</f>
        <v>0</v>
      </c>
      <c r="L724" s="11"/>
      <c r="O724" s="1" t="s">
        <v>30</v>
      </c>
      <c r="P724" s="2">
        <f>Tabela2[[#This Row],[Proposta
 Inicial]]-Tabela2[[#This Row],[Proposta
 Negociada]]</f>
        <v>0</v>
      </c>
      <c r="Q724" s="4" t="e">
        <f>Tabela2[[#This Row],[Proposta
 Negociada]]/Tabela2[[#This Row],[Proposta
 Inicial]]-1</f>
        <v>#DIV/0!</v>
      </c>
      <c r="S724"/>
    </row>
    <row r="725" spans="1:19" ht="15" customHeight="1">
      <c r="A725" s="9"/>
      <c r="B725" s="9"/>
      <c r="C725" s="1">
        <f>Tabela2[[#This Row],[Data
Pedido]]-Tabela2[[#This Row],[Data Última Aprovação RC]]</f>
        <v>0</v>
      </c>
      <c r="J725" s="1" t="str">
        <f t="shared" ca="1" si="20"/>
        <v/>
      </c>
      <c r="K725" s="11">
        <f>Tabela2[[#This Row],[SLA
Padrão]]-Tabela2[[#This Row],[SLA Atendimento]]</f>
        <v>0</v>
      </c>
      <c r="L725" s="11"/>
      <c r="O725" s="1" t="s">
        <v>30</v>
      </c>
      <c r="P725" s="2">
        <f>Tabela2[[#This Row],[Proposta
 Inicial]]-Tabela2[[#This Row],[Proposta
 Negociada]]</f>
        <v>0</v>
      </c>
      <c r="Q725" s="4" t="e">
        <f>Tabela2[[#This Row],[Proposta
 Negociada]]/Tabela2[[#This Row],[Proposta
 Inicial]]-1</f>
        <v>#DIV/0!</v>
      </c>
      <c r="S725"/>
    </row>
    <row r="726" spans="1:19" ht="15" customHeight="1">
      <c r="A726" s="9"/>
      <c r="B726" s="9"/>
      <c r="C726" s="1">
        <f>Tabela2[[#This Row],[Data
Pedido]]-Tabela2[[#This Row],[Data Última Aprovação RC]]</f>
        <v>0</v>
      </c>
      <c r="J726" s="1" t="str">
        <f t="shared" ca="1" si="20"/>
        <v/>
      </c>
      <c r="K726" s="11">
        <f>Tabela2[[#This Row],[SLA
Padrão]]-Tabela2[[#This Row],[SLA Atendimento]]</f>
        <v>0</v>
      </c>
      <c r="L726" s="11"/>
      <c r="O726" s="1" t="s">
        <v>30</v>
      </c>
      <c r="P726" s="2">
        <f>Tabela2[[#This Row],[Proposta
 Inicial]]-Tabela2[[#This Row],[Proposta
 Negociada]]</f>
        <v>0</v>
      </c>
      <c r="Q726" s="4" t="e">
        <f>Tabela2[[#This Row],[Proposta
 Negociada]]/Tabela2[[#This Row],[Proposta
 Inicial]]-1</f>
        <v>#DIV/0!</v>
      </c>
      <c r="S726"/>
    </row>
    <row r="727" spans="1:19" ht="15" customHeight="1">
      <c r="A727" s="9"/>
      <c r="B727" s="9"/>
      <c r="C727" s="1">
        <f>Tabela2[[#This Row],[Data
Pedido]]-Tabela2[[#This Row],[Data Última Aprovação RC]]</f>
        <v>0</v>
      </c>
      <c r="J727" s="1" t="str">
        <f t="shared" ca="1" si="20"/>
        <v/>
      </c>
      <c r="K727" s="11">
        <f>Tabela2[[#This Row],[SLA
Padrão]]-Tabela2[[#This Row],[SLA Atendimento]]</f>
        <v>0</v>
      </c>
      <c r="L727" s="11"/>
      <c r="O727" s="1" t="s">
        <v>30</v>
      </c>
      <c r="P727" s="2">
        <f>Tabela2[[#This Row],[Proposta
 Inicial]]-Tabela2[[#This Row],[Proposta
 Negociada]]</f>
        <v>0</v>
      </c>
      <c r="Q727" s="4" t="e">
        <f>Tabela2[[#This Row],[Proposta
 Negociada]]/Tabela2[[#This Row],[Proposta
 Inicial]]-1</f>
        <v>#DIV/0!</v>
      </c>
      <c r="S727"/>
    </row>
    <row r="728" spans="1:19" ht="15" customHeight="1">
      <c r="A728" s="9"/>
      <c r="B728" s="9"/>
      <c r="C728" s="1">
        <f>Tabela2[[#This Row],[Data
Pedido]]-Tabela2[[#This Row],[Data Última Aprovação RC]]</f>
        <v>0</v>
      </c>
      <c r="J728" s="1" t="str">
        <f t="shared" ca="1" si="20"/>
        <v/>
      </c>
      <c r="K728" s="11">
        <f>Tabela2[[#This Row],[SLA
Padrão]]-Tabela2[[#This Row],[SLA Atendimento]]</f>
        <v>0</v>
      </c>
      <c r="L728" s="11"/>
      <c r="O728" s="1" t="s">
        <v>30</v>
      </c>
      <c r="P728" s="2">
        <f>Tabela2[[#This Row],[Proposta
 Inicial]]-Tabela2[[#This Row],[Proposta
 Negociada]]</f>
        <v>0</v>
      </c>
      <c r="Q728" s="4" t="e">
        <f>Tabela2[[#This Row],[Proposta
 Negociada]]/Tabela2[[#This Row],[Proposta
 Inicial]]-1</f>
        <v>#DIV/0!</v>
      </c>
      <c r="S728"/>
    </row>
    <row r="729" spans="1:19" ht="15" customHeight="1">
      <c r="A729" s="9"/>
      <c r="B729" s="9"/>
      <c r="C729" s="1">
        <f>Tabela2[[#This Row],[Data
Pedido]]-Tabela2[[#This Row],[Data Última Aprovação RC]]</f>
        <v>0</v>
      </c>
      <c r="J729" s="1" t="str">
        <f t="shared" ca="1" si="20"/>
        <v/>
      </c>
      <c r="K729" s="11">
        <f>Tabela2[[#This Row],[SLA
Padrão]]-Tabela2[[#This Row],[SLA Atendimento]]</f>
        <v>0</v>
      </c>
      <c r="L729" s="11"/>
      <c r="O729" s="1" t="s">
        <v>30</v>
      </c>
      <c r="P729" s="2">
        <f>Tabela2[[#This Row],[Proposta
 Inicial]]-Tabela2[[#This Row],[Proposta
 Negociada]]</f>
        <v>0</v>
      </c>
      <c r="Q729" s="4" t="e">
        <f>Tabela2[[#This Row],[Proposta
 Negociada]]/Tabela2[[#This Row],[Proposta
 Inicial]]-1</f>
        <v>#DIV/0!</v>
      </c>
      <c r="S729"/>
    </row>
    <row r="730" spans="1:19" ht="15" customHeight="1">
      <c r="A730" s="9"/>
      <c r="B730" s="9"/>
      <c r="C730" s="1">
        <f>Tabela2[[#This Row],[Data
Pedido]]-Tabela2[[#This Row],[Data Última Aprovação RC]]</f>
        <v>0</v>
      </c>
      <c r="J730" s="1" t="str">
        <f t="shared" ca="1" si="20"/>
        <v/>
      </c>
      <c r="K730" s="11">
        <f>Tabela2[[#This Row],[SLA
Padrão]]-Tabela2[[#This Row],[SLA Atendimento]]</f>
        <v>0</v>
      </c>
      <c r="L730" s="11"/>
      <c r="O730" s="1" t="s">
        <v>30</v>
      </c>
      <c r="P730" s="2">
        <f>Tabela2[[#This Row],[Proposta
 Inicial]]-Tabela2[[#This Row],[Proposta
 Negociada]]</f>
        <v>0</v>
      </c>
      <c r="Q730" s="4" t="e">
        <f>Tabela2[[#This Row],[Proposta
 Negociada]]/Tabela2[[#This Row],[Proposta
 Inicial]]-1</f>
        <v>#DIV/0!</v>
      </c>
      <c r="S730"/>
    </row>
    <row r="731" spans="1:19" ht="15" customHeight="1">
      <c r="A731" s="9"/>
      <c r="B731" s="9"/>
      <c r="C731" s="1">
        <f>Tabela2[[#This Row],[Data
Pedido]]-Tabela2[[#This Row],[Data Última Aprovação RC]]</f>
        <v>0</v>
      </c>
      <c r="J731" s="1" t="str">
        <f t="shared" ca="1" si="20"/>
        <v/>
      </c>
      <c r="K731" s="11">
        <f>Tabela2[[#This Row],[SLA
Padrão]]-Tabela2[[#This Row],[SLA Atendimento]]</f>
        <v>0</v>
      </c>
      <c r="L731" s="11"/>
      <c r="O731" s="1" t="s">
        <v>30</v>
      </c>
      <c r="P731" s="2">
        <f>Tabela2[[#This Row],[Proposta
 Inicial]]-Tabela2[[#This Row],[Proposta
 Negociada]]</f>
        <v>0</v>
      </c>
      <c r="Q731" s="4" t="e">
        <f>Tabela2[[#This Row],[Proposta
 Negociada]]/Tabela2[[#This Row],[Proposta
 Inicial]]-1</f>
        <v>#DIV/0!</v>
      </c>
      <c r="S731"/>
    </row>
    <row r="732" spans="1:19" ht="15" customHeight="1">
      <c r="A732" s="9"/>
      <c r="B732" s="9"/>
      <c r="C732" s="1">
        <f>Tabela2[[#This Row],[Data
Pedido]]-Tabela2[[#This Row],[Data Última Aprovação RC]]</f>
        <v>0</v>
      </c>
      <c r="J732" s="1" t="str">
        <f t="shared" ca="1" si="20"/>
        <v/>
      </c>
      <c r="K732" s="11">
        <f>Tabela2[[#This Row],[SLA
Padrão]]-Tabela2[[#This Row],[SLA Atendimento]]</f>
        <v>0</v>
      </c>
      <c r="L732" s="11"/>
      <c r="O732" s="1" t="s">
        <v>30</v>
      </c>
      <c r="P732" s="2">
        <f>Tabela2[[#This Row],[Proposta
 Inicial]]-Tabela2[[#This Row],[Proposta
 Negociada]]</f>
        <v>0</v>
      </c>
      <c r="Q732" s="4" t="e">
        <f>Tabela2[[#This Row],[Proposta
 Negociada]]/Tabela2[[#This Row],[Proposta
 Inicial]]-1</f>
        <v>#DIV/0!</v>
      </c>
      <c r="S732"/>
    </row>
    <row r="733" spans="1:19" ht="15" customHeight="1">
      <c r="A733" s="9"/>
      <c r="B733" s="9"/>
      <c r="C733" s="1">
        <f>Tabela2[[#This Row],[Data
Pedido]]-Tabela2[[#This Row],[Data Última Aprovação RC]]</f>
        <v>0</v>
      </c>
      <c r="J733" s="1" t="str">
        <f t="shared" ca="1" si="20"/>
        <v/>
      </c>
      <c r="K733" s="11">
        <f>Tabela2[[#This Row],[SLA
Padrão]]-Tabela2[[#This Row],[SLA Atendimento]]</f>
        <v>0</v>
      </c>
      <c r="L733" s="11"/>
      <c r="O733" s="1" t="s">
        <v>30</v>
      </c>
      <c r="P733" s="2">
        <f>Tabela2[[#This Row],[Proposta
 Inicial]]-Tabela2[[#This Row],[Proposta
 Negociada]]</f>
        <v>0</v>
      </c>
      <c r="Q733" s="4" t="e">
        <f>Tabela2[[#This Row],[Proposta
 Negociada]]/Tabela2[[#This Row],[Proposta
 Inicial]]-1</f>
        <v>#DIV/0!</v>
      </c>
      <c r="S733"/>
    </row>
    <row r="734" spans="1:19" ht="15" customHeight="1">
      <c r="A734" s="9"/>
      <c r="B734" s="9"/>
      <c r="C734" s="1">
        <f>Tabela2[[#This Row],[Data
Pedido]]-Tabela2[[#This Row],[Data Última Aprovação RC]]</f>
        <v>0</v>
      </c>
      <c r="J734" s="1" t="str">
        <f t="shared" ca="1" si="20"/>
        <v/>
      </c>
      <c r="K734" s="11">
        <f>Tabela2[[#This Row],[SLA
Padrão]]-Tabela2[[#This Row],[SLA Atendimento]]</f>
        <v>0</v>
      </c>
      <c r="L734" s="11"/>
      <c r="O734" s="1" t="s">
        <v>30</v>
      </c>
      <c r="P734" s="2">
        <f>Tabela2[[#This Row],[Proposta
 Inicial]]-Tabela2[[#This Row],[Proposta
 Negociada]]</f>
        <v>0</v>
      </c>
      <c r="Q734" s="4" t="e">
        <f>Tabela2[[#This Row],[Proposta
 Negociada]]/Tabela2[[#This Row],[Proposta
 Inicial]]-1</f>
        <v>#DIV/0!</v>
      </c>
      <c r="S734"/>
    </row>
    <row r="735" spans="1:19" ht="15" customHeight="1">
      <c r="A735" s="9"/>
      <c r="B735" s="9"/>
      <c r="C735" s="1">
        <f>Tabela2[[#This Row],[Data
Pedido]]-Tabela2[[#This Row],[Data Última Aprovação RC]]</f>
        <v>0</v>
      </c>
      <c r="J735" s="1" t="str">
        <f t="shared" ca="1" si="20"/>
        <v/>
      </c>
      <c r="K735" s="11">
        <f>Tabela2[[#This Row],[SLA
Padrão]]-Tabela2[[#This Row],[SLA Atendimento]]</f>
        <v>0</v>
      </c>
      <c r="L735" s="11"/>
      <c r="O735" s="1" t="s">
        <v>30</v>
      </c>
      <c r="P735" s="2">
        <f>Tabela2[[#This Row],[Proposta
 Inicial]]-Tabela2[[#This Row],[Proposta
 Negociada]]</f>
        <v>0</v>
      </c>
      <c r="Q735" s="4" t="e">
        <f>Tabela2[[#This Row],[Proposta
 Negociada]]/Tabela2[[#This Row],[Proposta
 Inicial]]-1</f>
        <v>#DIV/0!</v>
      </c>
      <c r="S735"/>
    </row>
    <row r="736" spans="1:19" ht="15" customHeight="1">
      <c r="A736" s="9"/>
      <c r="B736" s="9"/>
      <c r="C736" s="1">
        <f>Tabela2[[#This Row],[Data
Pedido]]-Tabela2[[#This Row],[Data Última Aprovação RC]]</f>
        <v>0</v>
      </c>
      <c r="J736" s="1" t="str">
        <f t="shared" ca="1" si="20"/>
        <v/>
      </c>
      <c r="K736" s="11">
        <f>Tabela2[[#This Row],[SLA
Padrão]]-Tabela2[[#This Row],[SLA Atendimento]]</f>
        <v>0</v>
      </c>
      <c r="L736" s="11"/>
      <c r="O736" s="1" t="s">
        <v>30</v>
      </c>
      <c r="P736" s="2">
        <f>Tabela2[[#This Row],[Proposta
 Inicial]]-Tabela2[[#This Row],[Proposta
 Negociada]]</f>
        <v>0</v>
      </c>
      <c r="Q736" s="4" t="e">
        <f>Tabela2[[#This Row],[Proposta
 Negociada]]/Tabela2[[#This Row],[Proposta
 Inicial]]-1</f>
        <v>#DIV/0!</v>
      </c>
      <c r="S736"/>
    </row>
    <row r="737" spans="1:19" ht="15" customHeight="1">
      <c r="A737" s="9"/>
      <c r="B737" s="9"/>
      <c r="C737" s="1">
        <f>Tabela2[[#This Row],[Data
Pedido]]-Tabela2[[#This Row],[Data Última Aprovação RC]]</f>
        <v>0</v>
      </c>
      <c r="J737" s="1" t="str">
        <f t="shared" ca="1" si="20"/>
        <v/>
      </c>
      <c r="K737" s="11">
        <f>Tabela2[[#This Row],[SLA
Padrão]]-Tabela2[[#This Row],[SLA Atendimento]]</f>
        <v>0</v>
      </c>
      <c r="L737" s="11"/>
      <c r="O737" s="1" t="s">
        <v>30</v>
      </c>
      <c r="P737" s="2">
        <f>Tabela2[[#This Row],[Proposta
 Inicial]]-Tabela2[[#This Row],[Proposta
 Negociada]]</f>
        <v>0</v>
      </c>
      <c r="Q737" s="4" t="e">
        <f>Tabela2[[#This Row],[Proposta
 Negociada]]/Tabela2[[#This Row],[Proposta
 Inicial]]-1</f>
        <v>#DIV/0!</v>
      </c>
      <c r="S737"/>
    </row>
    <row r="738" spans="1:19" ht="15" customHeight="1">
      <c r="A738" s="9"/>
      <c r="B738" s="9"/>
      <c r="C738" s="1">
        <f>Tabela2[[#This Row],[Data
Pedido]]-Tabela2[[#This Row],[Data Última Aprovação RC]]</f>
        <v>0</v>
      </c>
      <c r="J738" s="1" t="str">
        <f t="shared" ca="1" si="20"/>
        <v/>
      </c>
      <c r="K738" s="11">
        <f>Tabela2[[#This Row],[SLA
Padrão]]-Tabela2[[#This Row],[SLA Atendimento]]</f>
        <v>0</v>
      </c>
      <c r="L738" s="11"/>
      <c r="O738" s="1" t="s">
        <v>30</v>
      </c>
      <c r="P738" s="2">
        <f>Tabela2[[#This Row],[Proposta
 Inicial]]-Tabela2[[#This Row],[Proposta
 Negociada]]</f>
        <v>0</v>
      </c>
      <c r="Q738" s="4" t="e">
        <f>Tabela2[[#This Row],[Proposta
 Negociada]]/Tabela2[[#This Row],[Proposta
 Inicial]]-1</f>
        <v>#DIV/0!</v>
      </c>
      <c r="S738"/>
    </row>
    <row r="739" spans="1:19" ht="15" customHeight="1">
      <c r="A739" s="9"/>
      <c r="B739" s="9"/>
      <c r="C739" s="1">
        <f>Tabela2[[#This Row],[Data
Pedido]]-Tabela2[[#This Row],[Data Última Aprovação RC]]</f>
        <v>0</v>
      </c>
      <c r="J739" s="1" t="str">
        <f t="shared" ca="1" si="20"/>
        <v/>
      </c>
      <c r="K739" s="11">
        <f>Tabela2[[#This Row],[SLA
Padrão]]-Tabela2[[#This Row],[SLA Atendimento]]</f>
        <v>0</v>
      </c>
      <c r="L739" s="11"/>
      <c r="O739" s="1" t="s">
        <v>30</v>
      </c>
      <c r="P739" s="2">
        <f>Tabela2[[#This Row],[Proposta
 Inicial]]-Tabela2[[#This Row],[Proposta
 Negociada]]</f>
        <v>0</v>
      </c>
      <c r="Q739" s="4" t="e">
        <f>Tabela2[[#This Row],[Proposta
 Negociada]]/Tabela2[[#This Row],[Proposta
 Inicial]]-1</f>
        <v>#DIV/0!</v>
      </c>
      <c r="S739"/>
    </row>
    <row r="740" spans="1:19" ht="15" customHeight="1">
      <c r="A740" s="9"/>
      <c r="B740" s="9"/>
      <c r="C740" s="1">
        <f>Tabela2[[#This Row],[Data
Pedido]]-Tabela2[[#This Row],[Data Última Aprovação RC]]</f>
        <v>0</v>
      </c>
      <c r="J740" s="1" t="str">
        <f t="shared" ca="1" si="20"/>
        <v/>
      </c>
      <c r="K740" s="11">
        <f>Tabela2[[#This Row],[SLA
Padrão]]-Tabela2[[#This Row],[SLA Atendimento]]</f>
        <v>0</v>
      </c>
      <c r="L740" s="11"/>
      <c r="O740" s="1" t="s">
        <v>30</v>
      </c>
      <c r="P740" s="2">
        <f>Tabela2[[#This Row],[Proposta
 Inicial]]-Tabela2[[#This Row],[Proposta
 Negociada]]</f>
        <v>0</v>
      </c>
      <c r="Q740" s="4" t="e">
        <f>Tabela2[[#This Row],[Proposta
 Negociada]]/Tabela2[[#This Row],[Proposta
 Inicial]]-1</f>
        <v>#DIV/0!</v>
      </c>
      <c r="S740"/>
    </row>
    <row r="741" spans="1:19" ht="15" customHeight="1">
      <c r="A741" s="9"/>
      <c r="B741" s="9"/>
      <c r="C741" s="1">
        <f>Tabela2[[#This Row],[Data
Pedido]]-Tabela2[[#This Row],[Data Última Aprovação RC]]</f>
        <v>0</v>
      </c>
      <c r="J741" s="1" t="str">
        <f t="shared" ca="1" si="20"/>
        <v/>
      </c>
      <c r="K741" s="11">
        <f>Tabela2[[#This Row],[SLA
Padrão]]-Tabela2[[#This Row],[SLA Atendimento]]</f>
        <v>0</v>
      </c>
      <c r="L741" s="11"/>
      <c r="O741" s="1" t="s">
        <v>30</v>
      </c>
      <c r="P741" s="2">
        <f>Tabela2[[#This Row],[Proposta
 Inicial]]-Tabela2[[#This Row],[Proposta
 Negociada]]</f>
        <v>0</v>
      </c>
      <c r="Q741" s="4" t="e">
        <f>Tabela2[[#This Row],[Proposta
 Negociada]]/Tabela2[[#This Row],[Proposta
 Inicial]]-1</f>
        <v>#DIV/0!</v>
      </c>
      <c r="S741"/>
    </row>
    <row r="742" spans="1:19" ht="15" customHeight="1">
      <c r="A742" s="9"/>
      <c r="B742" s="9"/>
      <c r="C742" s="1">
        <f>Tabela2[[#This Row],[Data
Pedido]]-Tabela2[[#This Row],[Data Última Aprovação RC]]</f>
        <v>0</v>
      </c>
      <c r="J742" s="1" t="str">
        <f t="shared" ca="1" si="20"/>
        <v/>
      </c>
      <c r="K742" s="11">
        <f>Tabela2[[#This Row],[SLA
Padrão]]-Tabela2[[#This Row],[SLA Atendimento]]</f>
        <v>0</v>
      </c>
      <c r="L742" s="11"/>
      <c r="O742" s="1" t="s">
        <v>30</v>
      </c>
      <c r="P742" s="2">
        <f>Tabela2[[#This Row],[Proposta
 Inicial]]-Tabela2[[#This Row],[Proposta
 Negociada]]</f>
        <v>0</v>
      </c>
      <c r="Q742" s="4" t="e">
        <f>Tabela2[[#This Row],[Proposta
 Negociada]]/Tabela2[[#This Row],[Proposta
 Inicial]]-1</f>
        <v>#DIV/0!</v>
      </c>
      <c r="S742"/>
    </row>
    <row r="743" spans="1:19" ht="15" customHeight="1">
      <c r="A743" s="9"/>
      <c r="B743" s="9"/>
      <c r="C743" s="1">
        <f>Tabela2[[#This Row],[Data
Pedido]]-Tabela2[[#This Row],[Data Última Aprovação RC]]</f>
        <v>0</v>
      </c>
      <c r="J743" s="1" t="str">
        <f t="shared" ca="1" si="20"/>
        <v/>
      </c>
      <c r="K743" s="11">
        <f>Tabela2[[#This Row],[SLA
Padrão]]-Tabela2[[#This Row],[SLA Atendimento]]</f>
        <v>0</v>
      </c>
      <c r="L743" s="11"/>
      <c r="O743" s="1" t="s">
        <v>30</v>
      </c>
      <c r="P743" s="2">
        <f>Tabela2[[#This Row],[Proposta
 Inicial]]-Tabela2[[#This Row],[Proposta
 Negociada]]</f>
        <v>0</v>
      </c>
      <c r="Q743" s="4" t="e">
        <f>Tabela2[[#This Row],[Proposta
 Negociada]]/Tabela2[[#This Row],[Proposta
 Inicial]]-1</f>
        <v>#DIV/0!</v>
      </c>
      <c r="S743"/>
    </row>
    <row r="744" spans="1:19" ht="15" customHeight="1">
      <c r="A744" s="9"/>
      <c r="B744" s="9"/>
      <c r="C744" s="1">
        <f>Tabela2[[#This Row],[Data
Pedido]]-Tabela2[[#This Row],[Data Última Aprovação RC]]</f>
        <v>0</v>
      </c>
      <c r="J744" s="1" t="str">
        <f t="shared" ca="1" si="20"/>
        <v/>
      </c>
      <c r="K744" s="11">
        <f>Tabela2[[#This Row],[SLA
Padrão]]-Tabela2[[#This Row],[SLA Atendimento]]</f>
        <v>0</v>
      </c>
      <c r="L744" s="11"/>
      <c r="O744" s="1" t="s">
        <v>30</v>
      </c>
      <c r="P744" s="2">
        <f>Tabela2[[#This Row],[Proposta
 Inicial]]-Tabela2[[#This Row],[Proposta
 Negociada]]</f>
        <v>0</v>
      </c>
      <c r="Q744" s="4" t="e">
        <f>Tabela2[[#This Row],[Proposta
 Negociada]]/Tabela2[[#This Row],[Proposta
 Inicial]]-1</f>
        <v>#DIV/0!</v>
      </c>
      <c r="S744"/>
    </row>
    <row r="745" spans="1:19" ht="15" customHeight="1">
      <c r="A745" s="9"/>
      <c r="B745" s="9"/>
      <c r="C745" s="1">
        <f>Tabela2[[#This Row],[Data
Pedido]]-Tabela2[[#This Row],[Data Última Aprovação RC]]</f>
        <v>0</v>
      </c>
      <c r="J745" s="1" t="str">
        <f t="shared" ca="1" si="20"/>
        <v/>
      </c>
      <c r="K745" s="11">
        <f>Tabela2[[#This Row],[SLA
Padrão]]-Tabela2[[#This Row],[SLA Atendimento]]</f>
        <v>0</v>
      </c>
      <c r="L745" s="11"/>
      <c r="O745" s="1" t="s">
        <v>30</v>
      </c>
      <c r="P745" s="2">
        <f>Tabela2[[#This Row],[Proposta
 Inicial]]-Tabela2[[#This Row],[Proposta
 Negociada]]</f>
        <v>0</v>
      </c>
      <c r="Q745" s="4" t="e">
        <f>Tabela2[[#This Row],[Proposta
 Negociada]]/Tabela2[[#This Row],[Proposta
 Inicial]]-1</f>
        <v>#DIV/0!</v>
      </c>
      <c r="S745"/>
    </row>
    <row r="746" spans="1:19" ht="15" customHeight="1">
      <c r="A746" s="9"/>
      <c r="B746" s="9"/>
      <c r="C746" s="1">
        <f>Tabela2[[#This Row],[Data
Pedido]]-Tabela2[[#This Row],[Data Última Aprovação RC]]</f>
        <v>0</v>
      </c>
      <c r="J746" s="1" t="str">
        <f t="shared" ca="1" si="20"/>
        <v/>
      </c>
      <c r="K746" s="11">
        <f>Tabela2[[#This Row],[SLA
Padrão]]-Tabela2[[#This Row],[SLA Atendimento]]</f>
        <v>0</v>
      </c>
      <c r="L746" s="11"/>
      <c r="O746" s="1" t="s">
        <v>30</v>
      </c>
      <c r="P746" s="2">
        <f>Tabela2[[#This Row],[Proposta
 Inicial]]-Tabela2[[#This Row],[Proposta
 Negociada]]</f>
        <v>0</v>
      </c>
      <c r="Q746" s="4" t="e">
        <f>Tabela2[[#This Row],[Proposta
 Negociada]]/Tabela2[[#This Row],[Proposta
 Inicial]]-1</f>
        <v>#DIV/0!</v>
      </c>
      <c r="S746"/>
    </row>
    <row r="747" spans="1:19" ht="15" customHeight="1">
      <c r="A747" s="9"/>
      <c r="B747" s="9"/>
      <c r="C747" s="1">
        <f>Tabela2[[#This Row],[Data
Pedido]]-Tabela2[[#This Row],[Data Última Aprovação RC]]</f>
        <v>0</v>
      </c>
      <c r="J747" s="1" t="str">
        <f t="shared" ref="J747:J810" ca="1" si="21">IF(A747="","",IF(B747="",IF(TODAY()-A747&gt;I747,"ATRASADA","EM ANDAMENTO"),IF(B747-A747&gt;I747,"ATRASADA","NO PRAZO")))</f>
        <v/>
      </c>
      <c r="K747" s="11">
        <f>Tabela2[[#This Row],[SLA
Padrão]]-Tabela2[[#This Row],[SLA Atendimento]]</f>
        <v>0</v>
      </c>
      <c r="L747" s="11"/>
      <c r="O747" s="1" t="s">
        <v>30</v>
      </c>
      <c r="P747" s="2">
        <f>Tabela2[[#This Row],[Proposta
 Inicial]]-Tabela2[[#This Row],[Proposta
 Negociada]]</f>
        <v>0</v>
      </c>
      <c r="Q747" s="4" t="e">
        <f>Tabela2[[#This Row],[Proposta
 Negociada]]/Tabela2[[#This Row],[Proposta
 Inicial]]-1</f>
        <v>#DIV/0!</v>
      </c>
      <c r="S747"/>
    </row>
    <row r="748" spans="1:19" ht="15" customHeight="1">
      <c r="A748" s="9"/>
      <c r="B748" s="9"/>
      <c r="C748" s="1">
        <f>Tabela2[[#This Row],[Data
Pedido]]-Tabela2[[#This Row],[Data Última Aprovação RC]]</f>
        <v>0</v>
      </c>
      <c r="J748" s="1" t="str">
        <f t="shared" ca="1" si="21"/>
        <v/>
      </c>
      <c r="K748" s="11">
        <f>Tabela2[[#This Row],[SLA
Padrão]]-Tabela2[[#This Row],[SLA Atendimento]]</f>
        <v>0</v>
      </c>
      <c r="L748" s="11"/>
      <c r="O748" s="1" t="s">
        <v>30</v>
      </c>
      <c r="P748" s="2">
        <f>Tabela2[[#This Row],[Proposta
 Inicial]]-Tabela2[[#This Row],[Proposta
 Negociada]]</f>
        <v>0</v>
      </c>
      <c r="Q748" s="4" t="e">
        <f>Tabela2[[#This Row],[Proposta
 Negociada]]/Tabela2[[#This Row],[Proposta
 Inicial]]-1</f>
        <v>#DIV/0!</v>
      </c>
      <c r="S748"/>
    </row>
    <row r="749" spans="1:19" ht="15" customHeight="1">
      <c r="A749" s="9"/>
      <c r="B749" s="9"/>
      <c r="C749" s="1">
        <f>Tabela2[[#This Row],[Data
Pedido]]-Tabela2[[#This Row],[Data Última Aprovação RC]]</f>
        <v>0</v>
      </c>
      <c r="J749" s="1" t="str">
        <f t="shared" ca="1" si="21"/>
        <v/>
      </c>
      <c r="K749" s="11">
        <f>Tabela2[[#This Row],[SLA
Padrão]]-Tabela2[[#This Row],[SLA Atendimento]]</f>
        <v>0</v>
      </c>
      <c r="L749" s="11"/>
      <c r="O749" s="1" t="s">
        <v>30</v>
      </c>
      <c r="P749" s="2">
        <f>Tabela2[[#This Row],[Proposta
 Inicial]]-Tabela2[[#This Row],[Proposta
 Negociada]]</f>
        <v>0</v>
      </c>
      <c r="Q749" s="4" t="e">
        <f>Tabela2[[#This Row],[Proposta
 Negociada]]/Tabela2[[#This Row],[Proposta
 Inicial]]-1</f>
        <v>#DIV/0!</v>
      </c>
      <c r="S749"/>
    </row>
    <row r="750" spans="1:19" ht="15" customHeight="1">
      <c r="A750" s="9"/>
      <c r="B750" s="9"/>
      <c r="C750" s="1">
        <f>Tabela2[[#This Row],[Data
Pedido]]-Tabela2[[#This Row],[Data Última Aprovação RC]]</f>
        <v>0</v>
      </c>
      <c r="J750" s="1" t="str">
        <f t="shared" ca="1" si="21"/>
        <v/>
      </c>
      <c r="K750" s="11">
        <f>Tabela2[[#This Row],[SLA
Padrão]]-Tabela2[[#This Row],[SLA Atendimento]]</f>
        <v>0</v>
      </c>
      <c r="L750" s="11"/>
      <c r="O750" s="1" t="s">
        <v>30</v>
      </c>
      <c r="P750" s="2">
        <f>Tabela2[[#This Row],[Proposta
 Inicial]]-Tabela2[[#This Row],[Proposta
 Negociada]]</f>
        <v>0</v>
      </c>
      <c r="Q750" s="4" t="e">
        <f>Tabela2[[#This Row],[Proposta
 Negociada]]/Tabela2[[#This Row],[Proposta
 Inicial]]-1</f>
        <v>#DIV/0!</v>
      </c>
      <c r="S750"/>
    </row>
    <row r="751" spans="1:19" ht="15" customHeight="1">
      <c r="A751" s="9"/>
      <c r="B751" s="9"/>
      <c r="C751" s="1">
        <f>Tabela2[[#This Row],[Data
Pedido]]-Tabela2[[#This Row],[Data Última Aprovação RC]]</f>
        <v>0</v>
      </c>
      <c r="J751" s="1" t="str">
        <f t="shared" ca="1" si="21"/>
        <v/>
      </c>
      <c r="K751" s="11">
        <f>Tabela2[[#This Row],[SLA
Padrão]]-Tabela2[[#This Row],[SLA Atendimento]]</f>
        <v>0</v>
      </c>
      <c r="L751" s="11"/>
      <c r="O751" s="1" t="s">
        <v>30</v>
      </c>
      <c r="P751" s="2">
        <f>Tabela2[[#This Row],[Proposta
 Inicial]]-Tabela2[[#This Row],[Proposta
 Negociada]]</f>
        <v>0</v>
      </c>
      <c r="Q751" s="4" t="e">
        <f>Tabela2[[#This Row],[Proposta
 Negociada]]/Tabela2[[#This Row],[Proposta
 Inicial]]-1</f>
        <v>#DIV/0!</v>
      </c>
      <c r="S751"/>
    </row>
    <row r="752" spans="1:19" ht="15" customHeight="1">
      <c r="A752" s="9"/>
      <c r="B752" s="9"/>
      <c r="C752" s="1">
        <f>Tabela2[[#This Row],[Data
Pedido]]-Tabela2[[#This Row],[Data Última Aprovação RC]]</f>
        <v>0</v>
      </c>
      <c r="J752" s="1" t="str">
        <f t="shared" ca="1" si="21"/>
        <v/>
      </c>
      <c r="K752" s="11">
        <f>Tabela2[[#This Row],[SLA
Padrão]]-Tabela2[[#This Row],[SLA Atendimento]]</f>
        <v>0</v>
      </c>
      <c r="L752" s="11"/>
      <c r="O752" s="1" t="s">
        <v>30</v>
      </c>
      <c r="P752" s="2">
        <f>Tabela2[[#This Row],[Proposta
 Inicial]]-Tabela2[[#This Row],[Proposta
 Negociada]]</f>
        <v>0</v>
      </c>
      <c r="Q752" s="4" t="e">
        <f>Tabela2[[#This Row],[Proposta
 Negociada]]/Tabela2[[#This Row],[Proposta
 Inicial]]-1</f>
        <v>#DIV/0!</v>
      </c>
      <c r="S752"/>
    </row>
    <row r="753" spans="1:19" ht="15" customHeight="1">
      <c r="A753" s="9"/>
      <c r="B753" s="9"/>
      <c r="C753" s="1">
        <f>Tabela2[[#This Row],[Data
Pedido]]-Tabela2[[#This Row],[Data Última Aprovação RC]]</f>
        <v>0</v>
      </c>
      <c r="J753" s="1" t="str">
        <f t="shared" ca="1" si="21"/>
        <v/>
      </c>
      <c r="K753" s="11">
        <f>Tabela2[[#This Row],[SLA
Padrão]]-Tabela2[[#This Row],[SLA Atendimento]]</f>
        <v>0</v>
      </c>
      <c r="L753" s="11"/>
      <c r="O753" s="1" t="s">
        <v>30</v>
      </c>
      <c r="P753" s="2">
        <f>Tabela2[[#This Row],[Proposta
 Inicial]]-Tabela2[[#This Row],[Proposta
 Negociada]]</f>
        <v>0</v>
      </c>
      <c r="Q753" s="4" t="e">
        <f>Tabela2[[#This Row],[Proposta
 Negociada]]/Tabela2[[#This Row],[Proposta
 Inicial]]-1</f>
        <v>#DIV/0!</v>
      </c>
      <c r="S753"/>
    </row>
    <row r="754" spans="1:19" ht="15" customHeight="1">
      <c r="A754" s="9"/>
      <c r="B754" s="9"/>
      <c r="C754" s="1">
        <f>Tabela2[[#This Row],[Data
Pedido]]-Tabela2[[#This Row],[Data Última Aprovação RC]]</f>
        <v>0</v>
      </c>
      <c r="J754" s="1" t="str">
        <f t="shared" ca="1" si="21"/>
        <v/>
      </c>
      <c r="K754" s="11">
        <f>Tabela2[[#This Row],[SLA
Padrão]]-Tabela2[[#This Row],[SLA Atendimento]]</f>
        <v>0</v>
      </c>
      <c r="L754" s="11"/>
      <c r="O754" s="1" t="s">
        <v>30</v>
      </c>
      <c r="P754" s="2">
        <f>Tabela2[[#This Row],[Proposta
 Inicial]]-Tabela2[[#This Row],[Proposta
 Negociada]]</f>
        <v>0</v>
      </c>
      <c r="Q754" s="4" t="e">
        <f>Tabela2[[#This Row],[Proposta
 Negociada]]/Tabela2[[#This Row],[Proposta
 Inicial]]-1</f>
        <v>#DIV/0!</v>
      </c>
      <c r="S754"/>
    </row>
    <row r="755" spans="1:19" ht="15" customHeight="1">
      <c r="A755" s="9"/>
      <c r="B755" s="9"/>
      <c r="C755" s="1">
        <f>Tabela2[[#This Row],[Data
Pedido]]-Tabela2[[#This Row],[Data Última Aprovação RC]]</f>
        <v>0</v>
      </c>
      <c r="J755" s="1" t="str">
        <f t="shared" ca="1" si="21"/>
        <v/>
      </c>
      <c r="K755" s="11">
        <f>Tabela2[[#This Row],[SLA
Padrão]]-Tabela2[[#This Row],[SLA Atendimento]]</f>
        <v>0</v>
      </c>
      <c r="L755" s="11"/>
      <c r="O755" s="1" t="s">
        <v>30</v>
      </c>
      <c r="P755" s="2">
        <f>Tabela2[[#This Row],[Proposta
 Inicial]]-Tabela2[[#This Row],[Proposta
 Negociada]]</f>
        <v>0</v>
      </c>
      <c r="Q755" s="4" t="e">
        <f>Tabela2[[#This Row],[Proposta
 Negociada]]/Tabela2[[#This Row],[Proposta
 Inicial]]-1</f>
        <v>#DIV/0!</v>
      </c>
      <c r="S755"/>
    </row>
    <row r="756" spans="1:19" ht="15" customHeight="1">
      <c r="A756" s="9"/>
      <c r="B756" s="9"/>
      <c r="C756" s="1">
        <f>Tabela2[[#This Row],[Data
Pedido]]-Tabela2[[#This Row],[Data Última Aprovação RC]]</f>
        <v>0</v>
      </c>
      <c r="J756" s="1" t="str">
        <f t="shared" ca="1" si="21"/>
        <v/>
      </c>
      <c r="K756" s="11">
        <f>Tabela2[[#This Row],[SLA
Padrão]]-Tabela2[[#This Row],[SLA Atendimento]]</f>
        <v>0</v>
      </c>
      <c r="L756" s="11"/>
      <c r="O756" s="1" t="s">
        <v>30</v>
      </c>
      <c r="P756" s="2">
        <f>Tabela2[[#This Row],[Proposta
 Inicial]]-Tabela2[[#This Row],[Proposta
 Negociada]]</f>
        <v>0</v>
      </c>
      <c r="Q756" s="4" t="e">
        <f>Tabela2[[#This Row],[Proposta
 Negociada]]/Tabela2[[#This Row],[Proposta
 Inicial]]-1</f>
        <v>#DIV/0!</v>
      </c>
      <c r="S756"/>
    </row>
    <row r="757" spans="1:19" ht="15" customHeight="1">
      <c r="A757" s="9"/>
      <c r="B757" s="9"/>
      <c r="C757" s="1">
        <f>Tabela2[[#This Row],[Data
Pedido]]-Tabela2[[#This Row],[Data Última Aprovação RC]]</f>
        <v>0</v>
      </c>
      <c r="J757" s="1" t="str">
        <f t="shared" ca="1" si="21"/>
        <v/>
      </c>
      <c r="K757" s="11">
        <f>Tabela2[[#This Row],[SLA
Padrão]]-Tabela2[[#This Row],[SLA Atendimento]]</f>
        <v>0</v>
      </c>
      <c r="L757" s="11"/>
      <c r="O757" s="1" t="s">
        <v>30</v>
      </c>
      <c r="P757" s="2">
        <f>Tabela2[[#This Row],[Proposta
 Inicial]]-Tabela2[[#This Row],[Proposta
 Negociada]]</f>
        <v>0</v>
      </c>
      <c r="Q757" s="4" t="e">
        <f>Tabela2[[#This Row],[Proposta
 Negociada]]/Tabela2[[#This Row],[Proposta
 Inicial]]-1</f>
        <v>#DIV/0!</v>
      </c>
      <c r="S757"/>
    </row>
    <row r="758" spans="1:19" ht="15" customHeight="1">
      <c r="A758" s="9"/>
      <c r="B758" s="9"/>
      <c r="C758" s="1">
        <f>Tabela2[[#This Row],[Data
Pedido]]-Tabela2[[#This Row],[Data Última Aprovação RC]]</f>
        <v>0</v>
      </c>
      <c r="J758" s="1" t="str">
        <f t="shared" ca="1" si="21"/>
        <v/>
      </c>
      <c r="K758" s="11">
        <f>Tabela2[[#This Row],[SLA
Padrão]]-Tabela2[[#This Row],[SLA Atendimento]]</f>
        <v>0</v>
      </c>
      <c r="L758" s="11"/>
      <c r="O758" s="1" t="s">
        <v>30</v>
      </c>
      <c r="P758" s="2">
        <f>Tabela2[[#This Row],[Proposta
 Inicial]]-Tabela2[[#This Row],[Proposta
 Negociada]]</f>
        <v>0</v>
      </c>
      <c r="Q758" s="4" t="e">
        <f>Tabela2[[#This Row],[Proposta
 Negociada]]/Tabela2[[#This Row],[Proposta
 Inicial]]-1</f>
        <v>#DIV/0!</v>
      </c>
      <c r="S758"/>
    </row>
    <row r="759" spans="1:19" ht="15" customHeight="1">
      <c r="A759" s="9"/>
      <c r="B759" s="9"/>
      <c r="C759" s="1">
        <f>Tabela2[[#This Row],[Data
Pedido]]-Tabela2[[#This Row],[Data Última Aprovação RC]]</f>
        <v>0</v>
      </c>
      <c r="J759" s="1" t="str">
        <f t="shared" ca="1" si="21"/>
        <v/>
      </c>
      <c r="K759" s="11">
        <f>Tabela2[[#This Row],[SLA
Padrão]]-Tabela2[[#This Row],[SLA Atendimento]]</f>
        <v>0</v>
      </c>
      <c r="L759" s="11"/>
      <c r="O759" s="1" t="s">
        <v>30</v>
      </c>
      <c r="P759" s="2">
        <f>Tabela2[[#This Row],[Proposta
 Inicial]]-Tabela2[[#This Row],[Proposta
 Negociada]]</f>
        <v>0</v>
      </c>
      <c r="Q759" s="4" t="e">
        <f>Tabela2[[#This Row],[Proposta
 Negociada]]/Tabela2[[#This Row],[Proposta
 Inicial]]-1</f>
        <v>#DIV/0!</v>
      </c>
      <c r="S759"/>
    </row>
    <row r="760" spans="1:19" ht="15" customHeight="1">
      <c r="A760" s="9"/>
      <c r="B760" s="9"/>
      <c r="C760" s="1">
        <f>Tabela2[[#This Row],[Data
Pedido]]-Tabela2[[#This Row],[Data Última Aprovação RC]]</f>
        <v>0</v>
      </c>
      <c r="J760" s="1" t="str">
        <f t="shared" ca="1" si="21"/>
        <v/>
      </c>
      <c r="K760" s="11">
        <f>Tabela2[[#This Row],[SLA
Padrão]]-Tabela2[[#This Row],[SLA Atendimento]]</f>
        <v>0</v>
      </c>
      <c r="L760" s="11"/>
      <c r="O760" s="1" t="s">
        <v>30</v>
      </c>
      <c r="P760" s="2">
        <f>Tabela2[[#This Row],[Proposta
 Inicial]]-Tabela2[[#This Row],[Proposta
 Negociada]]</f>
        <v>0</v>
      </c>
      <c r="Q760" s="4" t="e">
        <f>Tabela2[[#This Row],[Proposta
 Negociada]]/Tabela2[[#This Row],[Proposta
 Inicial]]-1</f>
        <v>#DIV/0!</v>
      </c>
      <c r="S760"/>
    </row>
    <row r="761" spans="1:19" ht="15" customHeight="1">
      <c r="A761" s="9"/>
      <c r="B761" s="9"/>
      <c r="C761" s="1">
        <f>Tabela2[[#This Row],[Data
Pedido]]-Tabela2[[#This Row],[Data Última Aprovação RC]]</f>
        <v>0</v>
      </c>
      <c r="J761" s="1" t="str">
        <f t="shared" ca="1" si="21"/>
        <v/>
      </c>
      <c r="K761" s="11">
        <f>Tabela2[[#This Row],[SLA
Padrão]]-Tabela2[[#This Row],[SLA Atendimento]]</f>
        <v>0</v>
      </c>
      <c r="L761" s="11"/>
      <c r="O761" s="1" t="s">
        <v>30</v>
      </c>
      <c r="P761" s="2">
        <f>Tabela2[[#This Row],[Proposta
 Inicial]]-Tabela2[[#This Row],[Proposta
 Negociada]]</f>
        <v>0</v>
      </c>
      <c r="Q761" s="4" t="e">
        <f>Tabela2[[#This Row],[Proposta
 Negociada]]/Tabela2[[#This Row],[Proposta
 Inicial]]-1</f>
        <v>#DIV/0!</v>
      </c>
      <c r="S761"/>
    </row>
    <row r="762" spans="1:19" ht="15" customHeight="1">
      <c r="A762" s="9"/>
      <c r="B762" s="9"/>
      <c r="C762" s="1">
        <f>Tabela2[[#This Row],[Data
Pedido]]-Tabela2[[#This Row],[Data Última Aprovação RC]]</f>
        <v>0</v>
      </c>
      <c r="J762" s="1" t="str">
        <f t="shared" ca="1" si="21"/>
        <v/>
      </c>
      <c r="K762" s="11">
        <f>Tabela2[[#This Row],[SLA
Padrão]]-Tabela2[[#This Row],[SLA Atendimento]]</f>
        <v>0</v>
      </c>
      <c r="L762" s="11"/>
      <c r="O762" s="1" t="s">
        <v>30</v>
      </c>
      <c r="P762" s="2">
        <f>Tabela2[[#This Row],[Proposta
 Inicial]]-Tabela2[[#This Row],[Proposta
 Negociada]]</f>
        <v>0</v>
      </c>
      <c r="Q762" s="4" t="e">
        <f>Tabela2[[#This Row],[Proposta
 Negociada]]/Tabela2[[#This Row],[Proposta
 Inicial]]-1</f>
        <v>#DIV/0!</v>
      </c>
      <c r="S762"/>
    </row>
    <row r="763" spans="1:19" ht="15" customHeight="1">
      <c r="A763" s="9"/>
      <c r="B763" s="9"/>
      <c r="C763" s="1">
        <f>Tabela2[[#This Row],[Data
Pedido]]-Tabela2[[#This Row],[Data Última Aprovação RC]]</f>
        <v>0</v>
      </c>
      <c r="J763" s="1" t="str">
        <f t="shared" ca="1" si="21"/>
        <v/>
      </c>
      <c r="K763" s="11">
        <f>Tabela2[[#This Row],[SLA
Padrão]]-Tabela2[[#This Row],[SLA Atendimento]]</f>
        <v>0</v>
      </c>
      <c r="L763" s="11"/>
      <c r="O763" s="1" t="s">
        <v>30</v>
      </c>
      <c r="P763" s="2">
        <f>Tabela2[[#This Row],[Proposta
 Inicial]]-Tabela2[[#This Row],[Proposta
 Negociada]]</f>
        <v>0</v>
      </c>
      <c r="Q763" s="4" t="e">
        <f>Tabela2[[#This Row],[Proposta
 Negociada]]/Tabela2[[#This Row],[Proposta
 Inicial]]-1</f>
        <v>#DIV/0!</v>
      </c>
      <c r="S763"/>
    </row>
    <row r="764" spans="1:19" ht="15" customHeight="1">
      <c r="A764" s="9"/>
      <c r="B764" s="9"/>
      <c r="C764" s="1">
        <f>Tabela2[[#This Row],[Data
Pedido]]-Tabela2[[#This Row],[Data Última Aprovação RC]]</f>
        <v>0</v>
      </c>
      <c r="J764" s="1" t="str">
        <f t="shared" ca="1" si="21"/>
        <v/>
      </c>
      <c r="K764" s="11">
        <f>Tabela2[[#This Row],[SLA
Padrão]]-Tabela2[[#This Row],[SLA Atendimento]]</f>
        <v>0</v>
      </c>
      <c r="L764" s="11"/>
      <c r="O764" s="1" t="s">
        <v>30</v>
      </c>
      <c r="P764" s="2">
        <f>Tabela2[[#This Row],[Proposta
 Inicial]]-Tabela2[[#This Row],[Proposta
 Negociada]]</f>
        <v>0</v>
      </c>
      <c r="Q764" s="4" t="e">
        <f>Tabela2[[#This Row],[Proposta
 Negociada]]/Tabela2[[#This Row],[Proposta
 Inicial]]-1</f>
        <v>#DIV/0!</v>
      </c>
      <c r="S764"/>
    </row>
    <row r="765" spans="1:19" ht="15" customHeight="1">
      <c r="A765" s="9"/>
      <c r="B765" s="9"/>
      <c r="C765" s="1">
        <f>Tabela2[[#This Row],[Data
Pedido]]-Tabela2[[#This Row],[Data Última Aprovação RC]]</f>
        <v>0</v>
      </c>
      <c r="J765" s="1" t="str">
        <f t="shared" ca="1" si="21"/>
        <v/>
      </c>
      <c r="K765" s="11">
        <f>Tabela2[[#This Row],[SLA
Padrão]]-Tabela2[[#This Row],[SLA Atendimento]]</f>
        <v>0</v>
      </c>
      <c r="L765" s="11"/>
      <c r="O765" s="1" t="s">
        <v>30</v>
      </c>
      <c r="P765" s="2">
        <f>Tabela2[[#This Row],[Proposta
 Inicial]]-Tabela2[[#This Row],[Proposta
 Negociada]]</f>
        <v>0</v>
      </c>
      <c r="Q765" s="4" t="e">
        <f>Tabela2[[#This Row],[Proposta
 Negociada]]/Tabela2[[#This Row],[Proposta
 Inicial]]-1</f>
        <v>#DIV/0!</v>
      </c>
      <c r="S765"/>
    </row>
    <row r="766" spans="1:19" ht="15" customHeight="1">
      <c r="A766" s="9"/>
      <c r="B766" s="9"/>
      <c r="C766" s="1">
        <f>Tabela2[[#This Row],[Data
Pedido]]-Tabela2[[#This Row],[Data Última Aprovação RC]]</f>
        <v>0</v>
      </c>
      <c r="J766" s="1" t="str">
        <f t="shared" ca="1" si="21"/>
        <v/>
      </c>
      <c r="K766" s="11">
        <f>Tabela2[[#This Row],[SLA
Padrão]]-Tabela2[[#This Row],[SLA Atendimento]]</f>
        <v>0</v>
      </c>
      <c r="L766" s="11"/>
      <c r="O766" s="1" t="s">
        <v>30</v>
      </c>
      <c r="P766" s="2">
        <f>Tabela2[[#This Row],[Proposta
 Inicial]]-Tabela2[[#This Row],[Proposta
 Negociada]]</f>
        <v>0</v>
      </c>
      <c r="Q766" s="4" t="e">
        <f>Tabela2[[#This Row],[Proposta
 Negociada]]/Tabela2[[#This Row],[Proposta
 Inicial]]-1</f>
        <v>#DIV/0!</v>
      </c>
      <c r="S766"/>
    </row>
    <row r="767" spans="1:19" ht="15" customHeight="1">
      <c r="A767" s="9"/>
      <c r="B767" s="9"/>
      <c r="C767" s="1">
        <f>Tabela2[[#This Row],[Data
Pedido]]-Tabela2[[#This Row],[Data Última Aprovação RC]]</f>
        <v>0</v>
      </c>
      <c r="J767" s="1" t="str">
        <f t="shared" ca="1" si="21"/>
        <v/>
      </c>
      <c r="K767" s="11">
        <f>Tabela2[[#This Row],[SLA
Padrão]]-Tabela2[[#This Row],[SLA Atendimento]]</f>
        <v>0</v>
      </c>
      <c r="L767" s="11"/>
      <c r="O767" s="1" t="s">
        <v>30</v>
      </c>
      <c r="P767" s="2">
        <f>Tabela2[[#This Row],[Proposta
 Inicial]]-Tabela2[[#This Row],[Proposta
 Negociada]]</f>
        <v>0</v>
      </c>
      <c r="Q767" s="4" t="e">
        <f>Tabela2[[#This Row],[Proposta
 Negociada]]/Tabela2[[#This Row],[Proposta
 Inicial]]-1</f>
        <v>#DIV/0!</v>
      </c>
      <c r="S767"/>
    </row>
    <row r="768" spans="1:19" ht="15" customHeight="1">
      <c r="A768" s="9"/>
      <c r="B768" s="9"/>
      <c r="C768" s="1">
        <f>Tabela2[[#This Row],[Data
Pedido]]-Tabela2[[#This Row],[Data Última Aprovação RC]]</f>
        <v>0</v>
      </c>
      <c r="J768" s="1" t="str">
        <f t="shared" ca="1" si="21"/>
        <v/>
      </c>
      <c r="K768" s="11">
        <f>Tabela2[[#This Row],[SLA
Padrão]]-Tabela2[[#This Row],[SLA Atendimento]]</f>
        <v>0</v>
      </c>
      <c r="L768" s="11"/>
      <c r="O768" s="1" t="s">
        <v>30</v>
      </c>
      <c r="P768" s="2">
        <f>Tabela2[[#This Row],[Proposta
 Inicial]]-Tabela2[[#This Row],[Proposta
 Negociada]]</f>
        <v>0</v>
      </c>
      <c r="Q768" s="4" t="e">
        <f>Tabela2[[#This Row],[Proposta
 Negociada]]/Tabela2[[#This Row],[Proposta
 Inicial]]-1</f>
        <v>#DIV/0!</v>
      </c>
      <c r="S768"/>
    </row>
    <row r="769" spans="1:19" ht="15" customHeight="1">
      <c r="A769" s="9"/>
      <c r="B769" s="9"/>
      <c r="C769" s="1">
        <f>Tabela2[[#This Row],[Data
Pedido]]-Tabela2[[#This Row],[Data Última Aprovação RC]]</f>
        <v>0</v>
      </c>
      <c r="J769" s="1" t="str">
        <f t="shared" ca="1" si="21"/>
        <v/>
      </c>
      <c r="K769" s="11">
        <f>Tabela2[[#This Row],[SLA
Padrão]]-Tabela2[[#This Row],[SLA Atendimento]]</f>
        <v>0</v>
      </c>
      <c r="L769" s="11"/>
      <c r="O769" s="1" t="s">
        <v>30</v>
      </c>
      <c r="P769" s="2">
        <f>Tabela2[[#This Row],[Proposta
 Inicial]]-Tabela2[[#This Row],[Proposta
 Negociada]]</f>
        <v>0</v>
      </c>
      <c r="Q769" s="4" t="e">
        <f>Tabela2[[#This Row],[Proposta
 Negociada]]/Tabela2[[#This Row],[Proposta
 Inicial]]-1</f>
        <v>#DIV/0!</v>
      </c>
      <c r="S769"/>
    </row>
    <row r="770" spans="1:19" ht="15" customHeight="1">
      <c r="A770" s="9"/>
      <c r="B770" s="9"/>
      <c r="C770" s="1">
        <f>Tabela2[[#This Row],[Data
Pedido]]-Tabela2[[#This Row],[Data Última Aprovação RC]]</f>
        <v>0</v>
      </c>
      <c r="J770" s="1" t="str">
        <f t="shared" ca="1" si="21"/>
        <v/>
      </c>
      <c r="K770" s="11">
        <f>Tabela2[[#This Row],[SLA
Padrão]]-Tabela2[[#This Row],[SLA Atendimento]]</f>
        <v>0</v>
      </c>
      <c r="L770" s="11"/>
      <c r="O770" s="1" t="s">
        <v>30</v>
      </c>
      <c r="P770" s="2">
        <f>Tabela2[[#This Row],[Proposta
 Inicial]]-Tabela2[[#This Row],[Proposta
 Negociada]]</f>
        <v>0</v>
      </c>
      <c r="Q770" s="4" t="e">
        <f>Tabela2[[#This Row],[Proposta
 Negociada]]/Tabela2[[#This Row],[Proposta
 Inicial]]-1</f>
        <v>#DIV/0!</v>
      </c>
      <c r="S770"/>
    </row>
    <row r="771" spans="1:19" ht="15" customHeight="1">
      <c r="A771" s="9"/>
      <c r="B771" s="9"/>
      <c r="C771" s="1">
        <f>Tabela2[[#This Row],[Data
Pedido]]-Tabela2[[#This Row],[Data Última Aprovação RC]]</f>
        <v>0</v>
      </c>
      <c r="J771" s="1" t="str">
        <f t="shared" ca="1" si="21"/>
        <v/>
      </c>
      <c r="K771" s="11">
        <f>Tabela2[[#This Row],[SLA
Padrão]]-Tabela2[[#This Row],[SLA Atendimento]]</f>
        <v>0</v>
      </c>
      <c r="L771" s="11"/>
      <c r="O771" s="1" t="s">
        <v>30</v>
      </c>
      <c r="P771" s="2">
        <f>Tabela2[[#This Row],[Proposta
 Inicial]]-Tabela2[[#This Row],[Proposta
 Negociada]]</f>
        <v>0</v>
      </c>
      <c r="Q771" s="4" t="e">
        <f>Tabela2[[#This Row],[Proposta
 Negociada]]/Tabela2[[#This Row],[Proposta
 Inicial]]-1</f>
        <v>#DIV/0!</v>
      </c>
      <c r="S771"/>
    </row>
    <row r="772" spans="1:19" ht="15" customHeight="1">
      <c r="A772" s="9"/>
      <c r="B772" s="9"/>
      <c r="C772" s="1">
        <f>Tabela2[[#This Row],[Data
Pedido]]-Tabela2[[#This Row],[Data Última Aprovação RC]]</f>
        <v>0</v>
      </c>
      <c r="J772" s="1" t="str">
        <f t="shared" ca="1" si="21"/>
        <v/>
      </c>
      <c r="K772" s="11">
        <f>Tabela2[[#This Row],[SLA
Padrão]]-Tabela2[[#This Row],[SLA Atendimento]]</f>
        <v>0</v>
      </c>
      <c r="L772" s="11"/>
      <c r="O772" s="1" t="s">
        <v>30</v>
      </c>
      <c r="P772" s="2">
        <f>Tabela2[[#This Row],[Proposta
 Inicial]]-Tabela2[[#This Row],[Proposta
 Negociada]]</f>
        <v>0</v>
      </c>
      <c r="Q772" s="4" t="e">
        <f>Tabela2[[#This Row],[Proposta
 Negociada]]/Tabela2[[#This Row],[Proposta
 Inicial]]-1</f>
        <v>#DIV/0!</v>
      </c>
      <c r="S772"/>
    </row>
    <row r="773" spans="1:19" ht="15" customHeight="1">
      <c r="A773" s="9"/>
      <c r="B773" s="9"/>
      <c r="C773" s="1">
        <f>Tabela2[[#This Row],[Data
Pedido]]-Tabela2[[#This Row],[Data Última Aprovação RC]]</f>
        <v>0</v>
      </c>
      <c r="J773" s="1" t="str">
        <f t="shared" ca="1" si="21"/>
        <v/>
      </c>
      <c r="K773" s="11">
        <f>Tabela2[[#This Row],[SLA
Padrão]]-Tabela2[[#This Row],[SLA Atendimento]]</f>
        <v>0</v>
      </c>
      <c r="L773" s="11"/>
      <c r="O773" s="1" t="s">
        <v>30</v>
      </c>
      <c r="P773" s="2">
        <f>Tabela2[[#This Row],[Proposta
 Inicial]]-Tabela2[[#This Row],[Proposta
 Negociada]]</f>
        <v>0</v>
      </c>
      <c r="Q773" s="4" t="e">
        <f>Tabela2[[#This Row],[Proposta
 Negociada]]/Tabela2[[#This Row],[Proposta
 Inicial]]-1</f>
        <v>#DIV/0!</v>
      </c>
      <c r="S773"/>
    </row>
    <row r="774" spans="1:19" ht="15" customHeight="1">
      <c r="A774" s="9"/>
      <c r="B774" s="9"/>
      <c r="C774" s="1">
        <f>Tabela2[[#This Row],[Data
Pedido]]-Tabela2[[#This Row],[Data Última Aprovação RC]]</f>
        <v>0</v>
      </c>
      <c r="J774" s="1" t="str">
        <f t="shared" ca="1" si="21"/>
        <v/>
      </c>
      <c r="K774" s="11">
        <f>Tabela2[[#This Row],[SLA
Padrão]]-Tabela2[[#This Row],[SLA Atendimento]]</f>
        <v>0</v>
      </c>
      <c r="L774" s="11"/>
      <c r="O774" s="1" t="s">
        <v>30</v>
      </c>
      <c r="P774" s="2">
        <f>Tabela2[[#This Row],[Proposta
 Inicial]]-Tabela2[[#This Row],[Proposta
 Negociada]]</f>
        <v>0</v>
      </c>
      <c r="Q774" s="4" t="e">
        <f>Tabela2[[#This Row],[Proposta
 Negociada]]/Tabela2[[#This Row],[Proposta
 Inicial]]-1</f>
        <v>#DIV/0!</v>
      </c>
      <c r="S774"/>
    </row>
    <row r="775" spans="1:19" ht="15" customHeight="1">
      <c r="A775" s="9"/>
      <c r="B775" s="9"/>
      <c r="C775" s="1">
        <f>Tabela2[[#This Row],[Data
Pedido]]-Tabela2[[#This Row],[Data Última Aprovação RC]]</f>
        <v>0</v>
      </c>
      <c r="J775" s="1" t="str">
        <f t="shared" ca="1" si="21"/>
        <v/>
      </c>
      <c r="K775" s="11">
        <f>Tabela2[[#This Row],[SLA
Padrão]]-Tabela2[[#This Row],[SLA Atendimento]]</f>
        <v>0</v>
      </c>
      <c r="L775" s="11"/>
      <c r="O775" s="1" t="s">
        <v>30</v>
      </c>
      <c r="P775" s="2">
        <f>Tabela2[[#This Row],[Proposta
 Inicial]]-Tabela2[[#This Row],[Proposta
 Negociada]]</f>
        <v>0</v>
      </c>
      <c r="Q775" s="4" t="e">
        <f>Tabela2[[#This Row],[Proposta
 Negociada]]/Tabela2[[#This Row],[Proposta
 Inicial]]-1</f>
        <v>#DIV/0!</v>
      </c>
      <c r="S775"/>
    </row>
    <row r="776" spans="1:19" ht="15" customHeight="1">
      <c r="A776" s="9"/>
      <c r="B776" s="9"/>
      <c r="C776" s="1">
        <f>Tabela2[[#This Row],[Data
Pedido]]-Tabela2[[#This Row],[Data Última Aprovação RC]]</f>
        <v>0</v>
      </c>
      <c r="J776" s="1" t="str">
        <f t="shared" ca="1" si="21"/>
        <v/>
      </c>
      <c r="K776" s="11">
        <f>Tabela2[[#This Row],[SLA
Padrão]]-Tabela2[[#This Row],[SLA Atendimento]]</f>
        <v>0</v>
      </c>
      <c r="L776" s="11"/>
      <c r="O776" s="1" t="s">
        <v>30</v>
      </c>
      <c r="P776" s="2">
        <f>Tabela2[[#This Row],[Proposta
 Inicial]]-Tabela2[[#This Row],[Proposta
 Negociada]]</f>
        <v>0</v>
      </c>
      <c r="Q776" s="4" t="e">
        <f>Tabela2[[#This Row],[Proposta
 Negociada]]/Tabela2[[#This Row],[Proposta
 Inicial]]-1</f>
        <v>#DIV/0!</v>
      </c>
      <c r="S776"/>
    </row>
    <row r="777" spans="1:19" ht="15" customHeight="1">
      <c r="A777" s="9"/>
      <c r="B777" s="9"/>
      <c r="C777" s="1">
        <f>Tabela2[[#This Row],[Data
Pedido]]-Tabela2[[#This Row],[Data Última Aprovação RC]]</f>
        <v>0</v>
      </c>
      <c r="J777" s="1" t="str">
        <f t="shared" ca="1" si="21"/>
        <v/>
      </c>
      <c r="K777" s="11">
        <f>Tabela2[[#This Row],[SLA
Padrão]]-Tabela2[[#This Row],[SLA Atendimento]]</f>
        <v>0</v>
      </c>
      <c r="L777" s="11"/>
      <c r="O777" s="1" t="s">
        <v>30</v>
      </c>
      <c r="P777" s="2">
        <f>Tabela2[[#This Row],[Proposta
 Inicial]]-Tabela2[[#This Row],[Proposta
 Negociada]]</f>
        <v>0</v>
      </c>
      <c r="Q777" s="4" t="e">
        <f>Tabela2[[#This Row],[Proposta
 Negociada]]/Tabela2[[#This Row],[Proposta
 Inicial]]-1</f>
        <v>#DIV/0!</v>
      </c>
      <c r="S777"/>
    </row>
    <row r="778" spans="1:19" ht="15" customHeight="1">
      <c r="A778" s="9"/>
      <c r="B778" s="9"/>
      <c r="C778" s="1">
        <f>Tabela2[[#This Row],[Data
Pedido]]-Tabela2[[#This Row],[Data Última Aprovação RC]]</f>
        <v>0</v>
      </c>
      <c r="J778" s="1" t="str">
        <f t="shared" ca="1" si="21"/>
        <v/>
      </c>
      <c r="K778" s="11">
        <f>Tabela2[[#This Row],[SLA
Padrão]]-Tabela2[[#This Row],[SLA Atendimento]]</f>
        <v>0</v>
      </c>
      <c r="L778" s="11"/>
      <c r="O778" s="1" t="s">
        <v>30</v>
      </c>
      <c r="P778" s="2">
        <f>Tabela2[[#This Row],[Proposta
 Inicial]]-Tabela2[[#This Row],[Proposta
 Negociada]]</f>
        <v>0</v>
      </c>
      <c r="Q778" s="4" t="e">
        <f>Tabela2[[#This Row],[Proposta
 Negociada]]/Tabela2[[#This Row],[Proposta
 Inicial]]-1</f>
        <v>#DIV/0!</v>
      </c>
      <c r="S778"/>
    </row>
    <row r="779" spans="1:19" ht="15" customHeight="1">
      <c r="A779" s="9"/>
      <c r="B779" s="9"/>
      <c r="C779" s="1">
        <f>Tabela2[[#This Row],[Data
Pedido]]-Tabela2[[#This Row],[Data Última Aprovação RC]]</f>
        <v>0</v>
      </c>
      <c r="J779" s="1" t="str">
        <f t="shared" ca="1" si="21"/>
        <v/>
      </c>
      <c r="K779" s="11">
        <f>Tabela2[[#This Row],[SLA
Padrão]]-Tabela2[[#This Row],[SLA Atendimento]]</f>
        <v>0</v>
      </c>
      <c r="L779" s="11"/>
      <c r="O779" s="1" t="s">
        <v>30</v>
      </c>
      <c r="P779" s="2">
        <f>Tabela2[[#This Row],[Proposta
 Inicial]]-Tabela2[[#This Row],[Proposta
 Negociada]]</f>
        <v>0</v>
      </c>
      <c r="Q779" s="4" t="e">
        <f>Tabela2[[#This Row],[Proposta
 Negociada]]/Tabela2[[#This Row],[Proposta
 Inicial]]-1</f>
        <v>#DIV/0!</v>
      </c>
      <c r="S779"/>
    </row>
    <row r="780" spans="1:19" ht="15" customHeight="1">
      <c r="A780" s="9"/>
      <c r="B780" s="9"/>
      <c r="C780" s="1">
        <f>Tabela2[[#This Row],[Data
Pedido]]-Tabela2[[#This Row],[Data Última Aprovação RC]]</f>
        <v>0</v>
      </c>
      <c r="J780" s="1" t="str">
        <f t="shared" ca="1" si="21"/>
        <v/>
      </c>
      <c r="K780" s="11">
        <f>Tabela2[[#This Row],[SLA
Padrão]]-Tabela2[[#This Row],[SLA Atendimento]]</f>
        <v>0</v>
      </c>
      <c r="L780" s="11"/>
      <c r="O780" s="1" t="s">
        <v>30</v>
      </c>
      <c r="P780" s="2">
        <f>Tabela2[[#This Row],[Proposta
 Inicial]]-Tabela2[[#This Row],[Proposta
 Negociada]]</f>
        <v>0</v>
      </c>
      <c r="Q780" s="4" t="e">
        <f>Tabela2[[#This Row],[Proposta
 Negociada]]/Tabela2[[#This Row],[Proposta
 Inicial]]-1</f>
        <v>#DIV/0!</v>
      </c>
      <c r="S780"/>
    </row>
    <row r="781" spans="1:19" ht="15" customHeight="1">
      <c r="A781" s="9"/>
      <c r="B781" s="9"/>
      <c r="C781" s="1">
        <f>Tabela2[[#This Row],[Data
Pedido]]-Tabela2[[#This Row],[Data Última Aprovação RC]]</f>
        <v>0</v>
      </c>
      <c r="J781" s="1" t="str">
        <f t="shared" ca="1" si="21"/>
        <v/>
      </c>
      <c r="K781" s="11">
        <f>Tabela2[[#This Row],[SLA
Padrão]]-Tabela2[[#This Row],[SLA Atendimento]]</f>
        <v>0</v>
      </c>
      <c r="L781" s="11"/>
      <c r="O781" s="1" t="s">
        <v>30</v>
      </c>
      <c r="P781" s="2">
        <f>Tabela2[[#This Row],[Proposta
 Inicial]]-Tabela2[[#This Row],[Proposta
 Negociada]]</f>
        <v>0</v>
      </c>
      <c r="Q781" s="4" t="e">
        <f>Tabela2[[#This Row],[Proposta
 Negociada]]/Tabela2[[#This Row],[Proposta
 Inicial]]-1</f>
        <v>#DIV/0!</v>
      </c>
      <c r="S781"/>
    </row>
    <row r="782" spans="1:19" ht="15" customHeight="1">
      <c r="A782" s="9"/>
      <c r="B782" s="9"/>
      <c r="C782" s="1">
        <f>Tabela2[[#This Row],[Data
Pedido]]-Tabela2[[#This Row],[Data Última Aprovação RC]]</f>
        <v>0</v>
      </c>
      <c r="J782" s="1" t="str">
        <f t="shared" ca="1" si="21"/>
        <v/>
      </c>
      <c r="K782" s="11">
        <f>Tabela2[[#This Row],[SLA
Padrão]]-Tabela2[[#This Row],[SLA Atendimento]]</f>
        <v>0</v>
      </c>
      <c r="L782" s="11"/>
      <c r="O782" s="1" t="s">
        <v>30</v>
      </c>
      <c r="P782" s="2">
        <f>Tabela2[[#This Row],[Proposta
 Inicial]]-Tabela2[[#This Row],[Proposta
 Negociada]]</f>
        <v>0</v>
      </c>
      <c r="Q782" s="4" t="e">
        <f>Tabela2[[#This Row],[Proposta
 Negociada]]/Tabela2[[#This Row],[Proposta
 Inicial]]-1</f>
        <v>#DIV/0!</v>
      </c>
      <c r="S782"/>
    </row>
    <row r="783" spans="1:19" ht="15" customHeight="1">
      <c r="A783" s="9"/>
      <c r="B783" s="9"/>
      <c r="C783" s="1">
        <f>Tabela2[[#This Row],[Data
Pedido]]-Tabela2[[#This Row],[Data Última Aprovação RC]]</f>
        <v>0</v>
      </c>
      <c r="J783" s="1" t="str">
        <f t="shared" ca="1" si="21"/>
        <v/>
      </c>
      <c r="K783" s="11">
        <f>Tabela2[[#This Row],[SLA
Padrão]]-Tabela2[[#This Row],[SLA Atendimento]]</f>
        <v>0</v>
      </c>
      <c r="L783" s="11"/>
      <c r="O783" s="1" t="s">
        <v>30</v>
      </c>
      <c r="P783" s="2">
        <f>Tabela2[[#This Row],[Proposta
 Inicial]]-Tabela2[[#This Row],[Proposta
 Negociada]]</f>
        <v>0</v>
      </c>
      <c r="Q783" s="4" t="e">
        <f>Tabela2[[#This Row],[Proposta
 Negociada]]/Tabela2[[#This Row],[Proposta
 Inicial]]-1</f>
        <v>#DIV/0!</v>
      </c>
      <c r="S783"/>
    </row>
    <row r="784" spans="1:19" ht="15" customHeight="1">
      <c r="A784" s="9"/>
      <c r="B784" s="9"/>
      <c r="C784" s="1">
        <f>Tabela2[[#This Row],[Data
Pedido]]-Tabela2[[#This Row],[Data Última Aprovação RC]]</f>
        <v>0</v>
      </c>
      <c r="J784" s="1" t="str">
        <f t="shared" ca="1" si="21"/>
        <v/>
      </c>
      <c r="K784" s="11">
        <f>Tabela2[[#This Row],[SLA
Padrão]]-Tabela2[[#This Row],[SLA Atendimento]]</f>
        <v>0</v>
      </c>
      <c r="L784" s="11"/>
      <c r="O784" s="1" t="s">
        <v>30</v>
      </c>
      <c r="P784" s="2">
        <f>Tabela2[[#This Row],[Proposta
 Inicial]]-Tabela2[[#This Row],[Proposta
 Negociada]]</f>
        <v>0</v>
      </c>
      <c r="Q784" s="4" t="e">
        <f>Tabela2[[#This Row],[Proposta
 Negociada]]/Tabela2[[#This Row],[Proposta
 Inicial]]-1</f>
        <v>#DIV/0!</v>
      </c>
      <c r="S784"/>
    </row>
    <row r="785" spans="1:19" ht="15" customHeight="1">
      <c r="A785" s="9"/>
      <c r="B785" s="9"/>
      <c r="C785" s="1">
        <f>Tabela2[[#This Row],[Data
Pedido]]-Tabela2[[#This Row],[Data Última Aprovação RC]]</f>
        <v>0</v>
      </c>
      <c r="J785" s="1" t="str">
        <f t="shared" ca="1" si="21"/>
        <v/>
      </c>
      <c r="K785" s="11">
        <f>Tabela2[[#This Row],[SLA
Padrão]]-Tabela2[[#This Row],[SLA Atendimento]]</f>
        <v>0</v>
      </c>
      <c r="L785" s="11"/>
      <c r="O785" s="1" t="s">
        <v>30</v>
      </c>
      <c r="P785" s="2">
        <f>Tabela2[[#This Row],[Proposta
 Inicial]]-Tabela2[[#This Row],[Proposta
 Negociada]]</f>
        <v>0</v>
      </c>
      <c r="Q785" s="4" t="e">
        <f>Tabela2[[#This Row],[Proposta
 Negociada]]/Tabela2[[#This Row],[Proposta
 Inicial]]-1</f>
        <v>#DIV/0!</v>
      </c>
      <c r="S785"/>
    </row>
    <row r="786" spans="1:19" ht="15" customHeight="1">
      <c r="A786" s="9"/>
      <c r="B786" s="9"/>
      <c r="C786" s="1">
        <f>Tabela2[[#This Row],[Data
Pedido]]-Tabela2[[#This Row],[Data Última Aprovação RC]]</f>
        <v>0</v>
      </c>
      <c r="J786" s="1" t="str">
        <f t="shared" ca="1" si="21"/>
        <v/>
      </c>
      <c r="K786" s="11">
        <f>Tabela2[[#This Row],[SLA
Padrão]]-Tabela2[[#This Row],[SLA Atendimento]]</f>
        <v>0</v>
      </c>
      <c r="L786" s="11"/>
      <c r="O786" s="1" t="s">
        <v>30</v>
      </c>
      <c r="P786" s="2">
        <f>Tabela2[[#This Row],[Proposta
 Inicial]]-Tabela2[[#This Row],[Proposta
 Negociada]]</f>
        <v>0</v>
      </c>
      <c r="Q786" s="4" t="e">
        <f>Tabela2[[#This Row],[Proposta
 Negociada]]/Tabela2[[#This Row],[Proposta
 Inicial]]-1</f>
        <v>#DIV/0!</v>
      </c>
      <c r="S786"/>
    </row>
    <row r="787" spans="1:19" ht="15" customHeight="1">
      <c r="A787" s="9"/>
      <c r="B787" s="9"/>
      <c r="C787" s="1">
        <f>Tabela2[[#This Row],[Data
Pedido]]-Tabela2[[#This Row],[Data Última Aprovação RC]]</f>
        <v>0</v>
      </c>
      <c r="J787" s="1" t="str">
        <f t="shared" ca="1" si="21"/>
        <v/>
      </c>
      <c r="K787" s="11">
        <f>Tabela2[[#This Row],[SLA
Padrão]]-Tabela2[[#This Row],[SLA Atendimento]]</f>
        <v>0</v>
      </c>
      <c r="L787" s="11"/>
      <c r="O787" s="1" t="s">
        <v>30</v>
      </c>
      <c r="P787" s="2">
        <f>Tabela2[[#This Row],[Proposta
 Inicial]]-Tabela2[[#This Row],[Proposta
 Negociada]]</f>
        <v>0</v>
      </c>
      <c r="Q787" s="4" t="e">
        <f>Tabela2[[#This Row],[Proposta
 Negociada]]/Tabela2[[#This Row],[Proposta
 Inicial]]-1</f>
        <v>#DIV/0!</v>
      </c>
      <c r="S787"/>
    </row>
    <row r="788" spans="1:19" ht="15" customHeight="1">
      <c r="A788" s="9"/>
      <c r="B788" s="9"/>
      <c r="C788" s="1">
        <f>Tabela2[[#This Row],[Data
Pedido]]-Tabela2[[#This Row],[Data Última Aprovação RC]]</f>
        <v>0</v>
      </c>
      <c r="J788" s="1" t="str">
        <f t="shared" ca="1" si="21"/>
        <v/>
      </c>
      <c r="K788" s="11">
        <f>Tabela2[[#This Row],[SLA
Padrão]]-Tabela2[[#This Row],[SLA Atendimento]]</f>
        <v>0</v>
      </c>
      <c r="L788" s="11"/>
      <c r="O788" s="1" t="s">
        <v>30</v>
      </c>
      <c r="P788" s="2">
        <f>Tabela2[[#This Row],[Proposta
 Inicial]]-Tabela2[[#This Row],[Proposta
 Negociada]]</f>
        <v>0</v>
      </c>
      <c r="Q788" s="4" t="e">
        <f>Tabela2[[#This Row],[Proposta
 Negociada]]/Tabela2[[#This Row],[Proposta
 Inicial]]-1</f>
        <v>#DIV/0!</v>
      </c>
      <c r="S788"/>
    </row>
    <row r="789" spans="1:19" ht="15" customHeight="1">
      <c r="A789" s="9"/>
      <c r="B789" s="9"/>
      <c r="C789" s="1">
        <f>Tabela2[[#This Row],[Data
Pedido]]-Tabela2[[#This Row],[Data Última Aprovação RC]]</f>
        <v>0</v>
      </c>
      <c r="J789" s="1" t="str">
        <f t="shared" ca="1" si="21"/>
        <v/>
      </c>
      <c r="K789" s="11">
        <f>Tabela2[[#This Row],[SLA
Padrão]]-Tabela2[[#This Row],[SLA Atendimento]]</f>
        <v>0</v>
      </c>
      <c r="L789" s="11"/>
      <c r="O789" s="1" t="s">
        <v>30</v>
      </c>
      <c r="P789" s="2">
        <f>Tabela2[[#This Row],[Proposta
 Inicial]]-Tabela2[[#This Row],[Proposta
 Negociada]]</f>
        <v>0</v>
      </c>
      <c r="Q789" s="4" t="e">
        <f>Tabela2[[#This Row],[Proposta
 Negociada]]/Tabela2[[#This Row],[Proposta
 Inicial]]-1</f>
        <v>#DIV/0!</v>
      </c>
      <c r="S789"/>
    </row>
    <row r="790" spans="1:19" ht="15" customHeight="1">
      <c r="A790" s="9"/>
      <c r="B790" s="9"/>
      <c r="C790" s="1">
        <f>Tabela2[[#This Row],[Data
Pedido]]-Tabela2[[#This Row],[Data Última Aprovação RC]]</f>
        <v>0</v>
      </c>
      <c r="J790" s="1" t="str">
        <f t="shared" ca="1" si="21"/>
        <v/>
      </c>
      <c r="K790" s="11">
        <f>Tabela2[[#This Row],[SLA
Padrão]]-Tabela2[[#This Row],[SLA Atendimento]]</f>
        <v>0</v>
      </c>
      <c r="L790" s="11"/>
      <c r="O790" s="1" t="s">
        <v>30</v>
      </c>
      <c r="P790" s="2">
        <f>Tabela2[[#This Row],[Proposta
 Inicial]]-Tabela2[[#This Row],[Proposta
 Negociada]]</f>
        <v>0</v>
      </c>
      <c r="Q790" s="4" t="e">
        <f>Tabela2[[#This Row],[Proposta
 Negociada]]/Tabela2[[#This Row],[Proposta
 Inicial]]-1</f>
        <v>#DIV/0!</v>
      </c>
      <c r="S790"/>
    </row>
    <row r="791" spans="1:19" ht="15" customHeight="1">
      <c r="A791" s="9"/>
      <c r="B791" s="9"/>
      <c r="C791" s="1">
        <f>Tabela2[[#This Row],[Data
Pedido]]-Tabela2[[#This Row],[Data Última Aprovação RC]]</f>
        <v>0</v>
      </c>
      <c r="J791" s="1" t="str">
        <f t="shared" ca="1" si="21"/>
        <v/>
      </c>
      <c r="K791" s="11">
        <f>Tabela2[[#This Row],[SLA
Padrão]]-Tabela2[[#This Row],[SLA Atendimento]]</f>
        <v>0</v>
      </c>
      <c r="L791" s="11"/>
      <c r="O791" s="1" t="s">
        <v>30</v>
      </c>
      <c r="P791" s="2">
        <f>Tabela2[[#This Row],[Proposta
 Inicial]]-Tabela2[[#This Row],[Proposta
 Negociada]]</f>
        <v>0</v>
      </c>
      <c r="Q791" s="4" t="e">
        <f>Tabela2[[#This Row],[Proposta
 Negociada]]/Tabela2[[#This Row],[Proposta
 Inicial]]-1</f>
        <v>#DIV/0!</v>
      </c>
      <c r="S791"/>
    </row>
    <row r="792" spans="1:19" ht="15" customHeight="1">
      <c r="A792" s="9"/>
      <c r="B792" s="9"/>
      <c r="C792" s="1">
        <f>Tabela2[[#This Row],[Data
Pedido]]-Tabela2[[#This Row],[Data Última Aprovação RC]]</f>
        <v>0</v>
      </c>
      <c r="J792" s="1" t="str">
        <f t="shared" ca="1" si="21"/>
        <v/>
      </c>
      <c r="K792" s="11">
        <f>Tabela2[[#This Row],[SLA
Padrão]]-Tabela2[[#This Row],[SLA Atendimento]]</f>
        <v>0</v>
      </c>
      <c r="L792" s="11"/>
      <c r="O792" s="1" t="s">
        <v>30</v>
      </c>
      <c r="P792" s="2">
        <f>Tabela2[[#This Row],[Proposta
 Inicial]]-Tabela2[[#This Row],[Proposta
 Negociada]]</f>
        <v>0</v>
      </c>
      <c r="Q792" s="4" t="e">
        <f>Tabela2[[#This Row],[Proposta
 Negociada]]/Tabela2[[#This Row],[Proposta
 Inicial]]-1</f>
        <v>#DIV/0!</v>
      </c>
      <c r="S792"/>
    </row>
    <row r="793" spans="1:19" ht="15" customHeight="1">
      <c r="A793" s="9"/>
      <c r="B793" s="9"/>
      <c r="C793" s="1">
        <f>Tabela2[[#This Row],[Data
Pedido]]-Tabela2[[#This Row],[Data Última Aprovação RC]]</f>
        <v>0</v>
      </c>
      <c r="J793" s="1" t="str">
        <f t="shared" ca="1" si="21"/>
        <v/>
      </c>
      <c r="K793" s="11">
        <f>Tabela2[[#This Row],[SLA
Padrão]]-Tabela2[[#This Row],[SLA Atendimento]]</f>
        <v>0</v>
      </c>
      <c r="L793" s="11"/>
      <c r="O793" s="1" t="s">
        <v>30</v>
      </c>
      <c r="P793" s="2">
        <f>Tabela2[[#This Row],[Proposta
 Inicial]]-Tabela2[[#This Row],[Proposta
 Negociada]]</f>
        <v>0</v>
      </c>
      <c r="Q793" s="4" t="e">
        <f>Tabela2[[#This Row],[Proposta
 Negociada]]/Tabela2[[#This Row],[Proposta
 Inicial]]-1</f>
        <v>#DIV/0!</v>
      </c>
      <c r="S793"/>
    </row>
    <row r="794" spans="1:19" ht="15" customHeight="1">
      <c r="A794" s="9"/>
      <c r="B794" s="9"/>
      <c r="C794" s="1">
        <f>Tabela2[[#This Row],[Data
Pedido]]-Tabela2[[#This Row],[Data Última Aprovação RC]]</f>
        <v>0</v>
      </c>
      <c r="J794" s="1" t="str">
        <f t="shared" ca="1" si="21"/>
        <v/>
      </c>
      <c r="K794" s="11">
        <f>Tabela2[[#This Row],[SLA
Padrão]]-Tabela2[[#This Row],[SLA Atendimento]]</f>
        <v>0</v>
      </c>
      <c r="L794" s="11"/>
      <c r="O794" s="1" t="s">
        <v>30</v>
      </c>
      <c r="P794" s="2">
        <f>Tabela2[[#This Row],[Proposta
 Inicial]]-Tabela2[[#This Row],[Proposta
 Negociada]]</f>
        <v>0</v>
      </c>
      <c r="Q794" s="4" t="e">
        <f>Tabela2[[#This Row],[Proposta
 Negociada]]/Tabela2[[#This Row],[Proposta
 Inicial]]-1</f>
        <v>#DIV/0!</v>
      </c>
      <c r="S794"/>
    </row>
    <row r="795" spans="1:19" ht="15" customHeight="1">
      <c r="A795" s="9"/>
      <c r="B795" s="9"/>
      <c r="C795" s="1">
        <f>Tabela2[[#This Row],[Data
Pedido]]-Tabela2[[#This Row],[Data Última Aprovação RC]]</f>
        <v>0</v>
      </c>
      <c r="J795" s="1" t="str">
        <f t="shared" ca="1" si="21"/>
        <v/>
      </c>
      <c r="K795" s="11">
        <f>Tabela2[[#This Row],[SLA
Padrão]]-Tabela2[[#This Row],[SLA Atendimento]]</f>
        <v>0</v>
      </c>
      <c r="L795" s="11"/>
      <c r="O795" s="1" t="s">
        <v>30</v>
      </c>
      <c r="P795" s="2">
        <f>Tabela2[[#This Row],[Proposta
 Inicial]]-Tabela2[[#This Row],[Proposta
 Negociada]]</f>
        <v>0</v>
      </c>
      <c r="Q795" s="4" t="e">
        <f>Tabela2[[#This Row],[Proposta
 Negociada]]/Tabela2[[#This Row],[Proposta
 Inicial]]-1</f>
        <v>#DIV/0!</v>
      </c>
      <c r="S795"/>
    </row>
    <row r="796" spans="1:19" ht="15" customHeight="1">
      <c r="A796" s="9"/>
      <c r="B796" s="9"/>
      <c r="C796" s="1">
        <f>Tabela2[[#This Row],[Data
Pedido]]-Tabela2[[#This Row],[Data Última Aprovação RC]]</f>
        <v>0</v>
      </c>
      <c r="J796" s="1" t="str">
        <f t="shared" ca="1" si="21"/>
        <v/>
      </c>
      <c r="K796" s="11">
        <f>Tabela2[[#This Row],[SLA
Padrão]]-Tabela2[[#This Row],[SLA Atendimento]]</f>
        <v>0</v>
      </c>
      <c r="L796" s="11"/>
      <c r="O796" s="1" t="s">
        <v>30</v>
      </c>
      <c r="P796" s="2">
        <f>Tabela2[[#This Row],[Proposta
 Inicial]]-Tabela2[[#This Row],[Proposta
 Negociada]]</f>
        <v>0</v>
      </c>
      <c r="Q796" s="4" t="e">
        <f>Tabela2[[#This Row],[Proposta
 Negociada]]/Tabela2[[#This Row],[Proposta
 Inicial]]-1</f>
        <v>#DIV/0!</v>
      </c>
      <c r="S796"/>
    </row>
    <row r="797" spans="1:19" ht="15" customHeight="1">
      <c r="A797" s="9"/>
      <c r="B797" s="9"/>
      <c r="C797" s="1">
        <f>Tabela2[[#This Row],[Data
Pedido]]-Tabela2[[#This Row],[Data Última Aprovação RC]]</f>
        <v>0</v>
      </c>
      <c r="J797" s="1" t="str">
        <f t="shared" ca="1" si="21"/>
        <v/>
      </c>
      <c r="K797" s="11">
        <f>Tabela2[[#This Row],[SLA
Padrão]]-Tabela2[[#This Row],[SLA Atendimento]]</f>
        <v>0</v>
      </c>
      <c r="L797" s="11"/>
      <c r="O797" s="1" t="s">
        <v>30</v>
      </c>
      <c r="P797" s="2">
        <f>Tabela2[[#This Row],[Proposta
 Inicial]]-Tabela2[[#This Row],[Proposta
 Negociada]]</f>
        <v>0</v>
      </c>
      <c r="Q797" s="4" t="e">
        <f>Tabela2[[#This Row],[Proposta
 Negociada]]/Tabela2[[#This Row],[Proposta
 Inicial]]-1</f>
        <v>#DIV/0!</v>
      </c>
      <c r="S797"/>
    </row>
    <row r="798" spans="1:19" ht="15" customHeight="1">
      <c r="A798" s="9"/>
      <c r="B798" s="9"/>
      <c r="C798" s="1">
        <f>Tabela2[[#This Row],[Data
Pedido]]-Tabela2[[#This Row],[Data Última Aprovação RC]]</f>
        <v>0</v>
      </c>
      <c r="J798" s="1" t="str">
        <f t="shared" ca="1" si="21"/>
        <v/>
      </c>
      <c r="K798" s="11">
        <f>Tabela2[[#This Row],[SLA
Padrão]]-Tabela2[[#This Row],[SLA Atendimento]]</f>
        <v>0</v>
      </c>
      <c r="L798" s="11"/>
      <c r="O798" s="1" t="s">
        <v>30</v>
      </c>
      <c r="P798" s="2">
        <f>Tabela2[[#This Row],[Proposta
 Inicial]]-Tabela2[[#This Row],[Proposta
 Negociada]]</f>
        <v>0</v>
      </c>
      <c r="Q798" s="4" t="e">
        <f>Tabela2[[#This Row],[Proposta
 Negociada]]/Tabela2[[#This Row],[Proposta
 Inicial]]-1</f>
        <v>#DIV/0!</v>
      </c>
      <c r="S798"/>
    </row>
    <row r="799" spans="1:19" ht="15" customHeight="1">
      <c r="A799" s="9"/>
      <c r="B799" s="9"/>
      <c r="C799" s="1">
        <f>Tabela2[[#This Row],[Data
Pedido]]-Tabela2[[#This Row],[Data Última Aprovação RC]]</f>
        <v>0</v>
      </c>
      <c r="J799" s="1" t="str">
        <f t="shared" ca="1" si="21"/>
        <v/>
      </c>
      <c r="K799" s="11">
        <f>Tabela2[[#This Row],[SLA
Padrão]]-Tabela2[[#This Row],[SLA Atendimento]]</f>
        <v>0</v>
      </c>
      <c r="L799" s="11"/>
      <c r="O799" s="1" t="s">
        <v>30</v>
      </c>
      <c r="P799" s="2">
        <f>Tabela2[[#This Row],[Proposta
 Inicial]]-Tabela2[[#This Row],[Proposta
 Negociada]]</f>
        <v>0</v>
      </c>
      <c r="Q799" s="4" t="e">
        <f>Tabela2[[#This Row],[Proposta
 Negociada]]/Tabela2[[#This Row],[Proposta
 Inicial]]-1</f>
        <v>#DIV/0!</v>
      </c>
      <c r="S799"/>
    </row>
    <row r="800" spans="1:19" ht="15" customHeight="1">
      <c r="A800" s="9"/>
      <c r="B800" s="9"/>
      <c r="C800" s="1">
        <f>Tabela2[[#This Row],[Data
Pedido]]-Tabela2[[#This Row],[Data Última Aprovação RC]]</f>
        <v>0</v>
      </c>
      <c r="J800" s="1" t="str">
        <f t="shared" ca="1" si="21"/>
        <v/>
      </c>
      <c r="K800" s="11">
        <f>Tabela2[[#This Row],[SLA
Padrão]]-Tabela2[[#This Row],[SLA Atendimento]]</f>
        <v>0</v>
      </c>
      <c r="L800" s="11"/>
      <c r="O800" s="1" t="s">
        <v>30</v>
      </c>
      <c r="P800" s="2">
        <f>Tabela2[[#This Row],[Proposta
 Inicial]]-Tabela2[[#This Row],[Proposta
 Negociada]]</f>
        <v>0</v>
      </c>
      <c r="Q800" s="4" t="e">
        <f>Tabela2[[#This Row],[Proposta
 Negociada]]/Tabela2[[#This Row],[Proposta
 Inicial]]-1</f>
        <v>#DIV/0!</v>
      </c>
      <c r="S800"/>
    </row>
    <row r="801" spans="1:19" ht="15" customHeight="1">
      <c r="A801" s="9"/>
      <c r="B801" s="9"/>
      <c r="C801" s="1">
        <f>Tabela2[[#This Row],[Data
Pedido]]-Tabela2[[#This Row],[Data Última Aprovação RC]]</f>
        <v>0</v>
      </c>
      <c r="J801" s="1" t="str">
        <f t="shared" ca="1" si="21"/>
        <v/>
      </c>
      <c r="K801" s="11">
        <f>Tabela2[[#This Row],[SLA
Padrão]]-Tabela2[[#This Row],[SLA Atendimento]]</f>
        <v>0</v>
      </c>
      <c r="L801" s="11"/>
      <c r="O801" s="1" t="s">
        <v>30</v>
      </c>
      <c r="P801" s="2">
        <f>Tabela2[[#This Row],[Proposta
 Inicial]]-Tabela2[[#This Row],[Proposta
 Negociada]]</f>
        <v>0</v>
      </c>
      <c r="Q801" s="4" t="e">
        <f>Tabela2[[#This Row],[Proposta
 Negociada]]/Tabela2[[#This Row],[Proposta
 Inicial]]-1</f>
        <v>#DIV/0!</v>
      </c>
      <c r="S801"/>
    </row>
    <row r="802" spans="1:19" ht="15" customHeight="1">
      <c r="A802" s="9"/>
      <c r="B802" s="9"/>
      <c r="C802" s="1">
        <f>Tabela2[[#This Row],[Data
Pedido]]-Tabela2[[#This Row],[Data Última Aprovação RC]]</f>
        <v>0</v>
      </c>
      <c r="J802" s="1" t="str">
        <f t="shared" ca="1" si="21"/>
        <v/>
      </c>
      <c r="K802" s="11">
        <f>Tabela2[[#This Row],[SLA
Padrão]]-Tabela2[[#This Row],[SLA Atendimento]]</f>
        <v>0</v>
      </c>
      <c r="L802" s="11"/>
      <c r="O802" s="1" t="s">
        <v>30</v>
      </c>
      <c r="P802" s="2">
        <f>Tabela2[[#This Row],[Proposta
 Inicial]]-Tabela2[[#This Row],[Proposta
 Negociada]]</f>
        <v>0</v>
      </c>
      <c r="Q802" s="4" t="e">
        <f>Tabela2[[#This Row],[Proposta
 Negociada]]/Tabela2[[#This Row],[Proposta
 Inicial]]-1</f>
        <v>#DIV/0!</v>
      </c>
      <c r="S802"/>
    </row>
    <row r="803" spans="1:19" ht="15" customHeight="1">
      <c r="A803" s="9"/>
      <c r="B803" s="9"/>
      <c r="C803" s="1">
        <f>Tabela2[[#This Row],[Data
Pedido]]-Tabela2[[#This Row],[Data Última Aprovação RC]]</f>
        <v>0</v>
      </c>
      <c r="J803" s="1" t="str">
        <f t="shared" ca="1" si="21"/>
        <v/>
      </c>
      <c r="K803" s="11">
        <f>Tabela2[[#This Row],[SLA
Padrão]]-Tabela2[[#This Row],[SLA Atendimento]]</f>
        <v>0</v>
      </c>
      <c r="L803" s="11"/>
      <c r="O803" s="1" t="s">
        <v>30</v>
      </c>
      <c r="P803" s="2">
        <f>Tabela2[[#This Row],[Proposta
 Inicial]]-Tabela2[[#This Row],[Proposta
 Negociada]]</f>
        <v>0</v>
      </c>
      <c r="Q803" s="4" t="e">
        <f>Tabela2[[#This Row],[Proposta
 Negociada]]/Tabela2[[#This Row],[Proposta
 Inicial]]-1</f>
        <v>#DIV/0!</v>
      </c>
      <c r="S803"/>
    </row>
    <row r="804" spans="1:19" ht="15" customHeight="1">
      <c r="A804" s="9"/>
      <c r="B804" s="9"/>
      <c r="C804" s="1">
        <f>Tabela2[[#This Row],[Data
Pedido]]-Tabela2[[#This Row],[Data Última Aprovação RC]]</f>
        <v>0</v>
      </c>
      <c r="J804" s="1" t="str">
        <f t="shared" ca="1" si="21"/>
        <v/>
      </c>
      <c r="K804" s="11">
        <f>Tabela2[[#This Row],[SLA
Padrão]]-Tabela2[[#This Row],[SLA Atendimento]]</f>
        <v>0</v>
      </c>
      <c r="L804" s="11"/>
      <c r="O804" s="1" t="s">
        <v>30</v>
      </c>
      <c r="P804" s="2">
        <f>Tabela2[[#This Row],[Proposta
 Inicial]]-Tabela2[[#This Row],[Proposta
 Negociada]]</f>
        <v>0</v>
      </c>
      <c r="Q804" s="4" t="e">
        <f>Tabela2[[#This Row],[Proposta
 Negociada]]/Tabela2[[#This Row],[Proposta
 Inicial]]-1</f>
        <v>#DIV/0!</v>
      </c>
      <c r="S804"/>
    </row>
    <row r="805" spans="1:19" ht="15" customHeight="1">
      <c r="A805" s="9"/>
      <c r="B805" s="9"/>
      <c r="C805" s="1">
        <f>Tabela2[[#This Row],[Data
Pedido]]-Tabela2[[#This Row],[Data Última Aprovação RC]]</f>
        <v>0</v>
      </c>
      <c r="J805" s="1" t="str">
        <f t="shared" ca="1" si="21"/>
        <v/>
      </c>
      <c r="K805" s="11">
        <f>Tabela2[[#This Row],[SLA
Padrão]]-Tabela2[[#This Row],[SLA Atendimento]]</f>
        <v>0</v>
      </c>
      <c r="L805" s="11"/>
      <c r="O805" s="1" t="s">
        <v>30</v>
      </c>
      <c r="P805" s="2">
        <f>Tabela2[[#This Row],[Proposta
 Inicial]]-Tabela2[[#This Row],[Proposta
 Negociada]]</f>
        <v>0</v>
      </c>
      <c r="Q805" s="4" t="e">
        <f>Tabela2[[#This Row],[Proposta
 Negociada]]/Tabela2[[#This Row],[Proposta
 Inicial]]-1</f>
        <v>#DIV/0!</v>
      </c>
      <c r="S805"/>
    </row>
    <row r="806" spans="1:19" ht="15" customHeight="1">
      <c r="A806" s="9"/>
      <c r="B806" s="9"/>
      <c r="C806" s="1">
        <f>Tabela2[[#This Row],[Data
Pedido]]-Tabela2[[#This Row],[Data Última Aprovação RC]]</f>
        <v>0</v>
      </c>
      <c r="J806" s="1" t="str">
        <f t="shared" ca="1" si="21"/>
        <v/>
      </c>
      <c r="K806" s="11">
        <f>Tabela2[[#This Row],[SLA
Padrão]]-Tabela2[[#This Row],[SLA Atendimento]]</f>
        <v>0</v>
      </c>
      <c r="L806" s="11"/>
      <c r="O806" s="1" t="s">
        <v>30</v>
      </c>
      <c r="P806" s="2">
        <f>Tabela2[[#This Row],[Proposta
 Inicial]]-Tabela2[[#This Row],[Proposta
 Negociada]]</f>
        <v>0</v>
      </c>
      <c r="Q806" s="4" t="e">
        <f>Tabela2[[#This Row],[Proposta
 Negociada]]/Tabela2[[#This Row],[Proposta
 Inicial]]-1</f>
        <v>#DIV/0!</v>
      </c>
      <c r="S806"/>
    </row>
    <row r="807" spans="1:19" ht="15" customHeight="1">
      <c r="A807" s="9"/>
      <c r="B807" s="9"/>
      <c r="C807" s="1">
        <f>Tabela2[[#This Row],[Data
Pedido]]-Tabela2[[#This Row],[Data Última Aprovação RC]]</f>
        <v>0</v>
      </c>
      <c r="J807" s="1" t="str">
        <f t="shared" ca="1" si="21"/>
        <v/>
      </c>
      <c r="K807" s="11">
        <f>Tabela2[[#This Row],[SLA
Padrão]]-Tabela2[[#This Row],[SLA Atendimento]]</f>
        <v>0</v>
      </c>
      <c r="L807" s="11"/>
      <c r="O807" s="1" t="s">
        <v>30</v>
      </c>
      <c r="P807" s="2">
        <f>Tabela2[[#This Row],[Proposta
 Inicial]]-Tabela2[[#This Row],[Proposta
 Negociada]]</f>
        <v>0</v>
      </c>
      <c r="Q807" s="4" t="e">
        <f>Tabela2[[#This Row],[Proposta
 Negociada]]/Tabela2[[#This Row],[Proposta
 Inicial]]-1</f>
        <v>#DIV/0!</v>
      </c>
      <c r="S807"/>
    </row>
    <row r="808" spans="1:19" ht="15" customHeight="1">
      <c r="A808" s="9"/>
      <c r="B808" s="9"/>
      <c r="C808" s="1">
        <f>Tabela2[[#This Row],[Data
Pedido]]-Tabela2[[#This Row],[Data Última Aprovação RC]]</f>
        <v>0</v>
      </c>
      <c r="J808" s="1" t="str">
        <f t="shared" ca="1" si="21"/>
        <v/>
      </c>
      <c r="K808" s="11">
        <f>Tabela2[[#This Row],[SLA
Padrão]]-Tabela2[[#This Row],[SLA Atendimento]]</f>
        <v>0</v>
      </c>
      <c r="L808" s="11"/>
      <c r="O808" s="1" t="s">
        <v>30</v>
      </c>
      <c r="P808" s="2">
        <f>Tabela2[[#This Row],[Proposta
 Inicial]]-Tabela2[[#This Row],[Proposta
 Negociada]]</f>
        <v>0</v>
      </c>
      <c r="Q808" s="4" t="e">
        <f>Tabela2[[#This Row],[Proposta
 Negociada]]/Tabela2[[#This Row],[Proposta
 Inicial]]-1</f>
        <v>#DIV/0!</v>
      </c>
      <c r="S808"/>
    </row>
    <row r="809" spans="1:19" ht="15" customHeight="1">
      <c r="A809" s="9"/>
      <c r="B809" s="9"/>
      <c r="C809" s="1">
        <f>Tabela2[[#This Row],[Data
Pedido]]-Tabela2[[#This Row],[Data Última Aprovação RC]]</f>
        <v>0</v>
      </c>
      <c r="J809" s="1" t="str">
        <f t="shared" ca="1" si="21"/>
        <v/>
      </c>
      <c r="K809" s="11">
        <f>Tabela2[[#This Row],[SLA
Padrão]]-Tabela2[[#This Row],[SLA Atendimento]]</f>
        <v>0</v>
      </c>
      <c r="L809" s="11"/>
      <c r="O809" s="1" t="s">
        <v>30</v>
      </c>
      <c r="P809" s="2">
        <f>Tabela2[[#This Row],[Proposta
 Inicial]]-Tabela2[[#This Row],[Proposta
 Negociada]]</f>
        <v>0</v>
      </c>
      <c r="Q809" s="4" t="e">
        <f>Tabela2[[#This Row],[Proposta
 Negociada]]/Tabela2[[#This Row],[Proposta
 Inicial]]-1</f>
        <v>#DIV/0!</v>
      </c>
      <c r="S809"/>
    </row>
    <row r="810" spans="1:19" ht="15" customHeight="1">
      <c r="A810" s="9"/>
      <c r="B810" s="9"/>
      <c r="C810" s="1">
        <f>Tabela2[[#This Row],[Data
Pedido]]-Tabela2[[#This Row],[Data Última Aprovação RC]]</f>
        <v>0</v>
      </c>
      <c r="J810" s="1" t="str">
        <f t="shared" ca="1" si="21"/>
        <v/>
      </c>
      <c r="K810" s="11">
        <f>Tabela2[[#This Row],[SLA
Padrão]]-Tabela2[[#This Row],[SLA Atendimento]]</f>
        <v>0</v>
      </c>
      <c r="L810" s="11"/>
      <c r="O810" s="1" t="s">
        <v>30</v>
      </c>
      <c r="P810" s="2">
        <f>Tabela2[[#This Row],[Proposta
 Inicial]]-Tabela2[[#This Row],[Proposta
 Negociada]]</f>
        <v>0</v>
      </c>
      <c r="Q810" s="4" t="e">
        <f>Tabela2[[#This Row],[Proposta
 Negociada]]/Tabela2[[#This Row],[Proposta
 Inicial]]-1</f>
        <v>#DIV/0!</v>
      </c>
      <c r="S810"/>
    </row>
    <row r="811" spans="1:19" ht="15" customHeight="1">
      <c r="A811" s="9"/>
      <c r="B811" s="9"/>
      <c r="C811" s="1">
        <f>Tabela2[[#This Row],[Data
Pedido]]-Tabela2[[#This Row],[Data Última Aprovação RC]]</f>
        <v>0</v>
      </c>
      <c r="J811" s="1" t="str">
        <f t="shared" ref="J811:J874" ca="1" si="22">IF(A811="","",IF(B811="",IF(TODAY()-A811&gt;I811,"ATRASADA","EM ANDAMENTO"),IF(B811-A811&gt;I811,"ATRASADA","NO PRAZO")))</f>
        <v/>
      </c>
      <c r="K811" s="11">
        <f>Tabela2[[#This Row],[SLA
Padrão]]-Tabela2[[#This Row],[SLA Atendimento]]</f>
        <v>0</v>
      </c>
      <c r="L811" s="11"/>
      <c r="O811" s="1" t="s">
        <v>30</v>
      </c>
      <c r="P811" s="2">
        <f>Tabela2[[#This Row],[Proposta
 Inicial]]-Tabela2[[#This Row],[Proposta
 Negociada]]</f>
        <v>0</v>
      </c>
      <c r="Q811" s="4" t="e">
        <f>Tabela2[[#This Row],[Proposta
 Negociada]]/Tabela2[[#This Row],[Proposta
 Inicial]]-1</f>
        <v>#DIV/0!</v>
      </c>
      <c r="S811"/>
    </row>
    <row r="812" spans="1:19" ht="15" customHeight="1">
      <c r="A812" s="9"/>
      <c r="B812" s="9"/>
      <c r="C812" s="1">
        <f>Tabela2[[#This Row],[Data
Pedido]]-Tabela2[[#This Row],[Data Última Aprovação RC]]</f>
        <v>0</v>
      </c>
      <c r="J812" s="1" t="str">
        <f t="shared" ca="1" si="22"/>
        <v/>
      </c>
      <c r="K812" s="11">
        <f>Tabela2[[#This Row],[SLA
Padrão]]-Tabela2[[#This Row],[SLA Atendimento]]</f>
        <v>0</v>
      </c>
      <c r="L812" s="11"/>
      <c r="O812" s="1" t="s">
        <v>30</v>
      </c>
      <c r="P812" s="2">
        <f>Tabela2[[#This Row],[Proposta
 Inicial]]-Tabela2[[#This Row],[Proposta
 Negociada]]</f>
        <v>0</v>
      </c>
      <c r="Q812" s="4" t="e">
        <f>Tabela2[[#This Row],[Proposta
 Negociada]]/Tabela2[[#This Row],[Proposta
 Inicial]]-1</f>
        <v>#DIV/0!</v>
      </c>
      <c r="S812"/>
    </row>
    <row r="813" spans="1:19" ht="15" customHeight="1">
      <c r="A813" s="9"/>
      <c r="B813" s="9"/>
      <c r="C813" s="1">
        <f>Tabela2[[#This Row],[Data
Pedido]]-Tabela2[[#This Row],[Data Última Aprovação RC]]</f>
        <v>0</v>
      </c>
      <c r="J813" s="1" t="str">
        <f t="shared" ca="1" si="22"/>
        <v/>
      </c>
      <c r="K813" s="11">
        <f>Tabela2[[#This Row],[SLA
Padrão]]-Tabela2[[#This Row],[SLA Atendimento]]</f>
        <v>0</v>
      </c>
      <c r="L813" s="11"/>
      <c r="O813" s="1" t="s">
        <v>30</v>
      </c>
      <c r="P813" s="2">
        <f>Tabela2[[#This Row],[Proposta
 Inicial]]-Tabela2[[#This Row],[Proposta
 Negociada]]</f>
        <v>0</v>
      </c>
      <c r="Q813" s="4" t="e">
        <f>Tabela2[[#This Row],[Proposta
 Negociada]]/Tabela2[[#This Row],[Proposta
 Inicial]]-1</f>
        <v>#DIV/0!</v>
      </c>
      <c r="S813"/>
    </row>
    <row r="814" spans="1:19" ht="15" customHeight="1">
      <c r="A814" s="9"/>
      <c r="B814" s="9"/>
      <c r="C814" s="1">
        <f>Tabela2[[#This Row],[Data
Pedido]]-Tabela2[[#This Row],[Data Última Aprovação RC]]</f>
        <v>0</v>
      </c>
      <c r="J814" s="1" t="str">
        <f t="shared" ca="1" si="22"/>
        <v/>
      </c>
      <c r="K814" s="11">
        <f>Tabela2[[#This Row],[SLA
Padrão]]-Tabela2[[#This Row],[SLA Atendimento]]</f>
        <v>0</v>
      </c>
      <c r="L814" s="11"/>
      <c r="O814" s="1" t="s">
        <v>30</v>
      </c>
      <c r="P814" s="2">
        <f>Tabela2[[#This Row],[Proposta
 Inicial]]-Tabela2[[#This Row],[Proposta
 Negociada]]</f>
        <v>0</v>
      </c>
      <c r="Q814" s="4" t="e">
        <f>Tabela2[[#This Row],[Proposta
 Negociada]]/Tabela2[[#This Row],[Proposta
 Inicial]]-1</f>
        <v>#DIV/0!</v>
      </c>
      <c r="S814"/>
    </row>
    <row r="815" spans="1:19" ht="15" customHeight="1">
      <c r="A815" s="9"/>
      <c r="B815" s="9"/>
      <c r="C815" s="1">
        <f>Tabela2[[#This Row],[Data
Pedido]]-Tabela2[[#This Row],[Data Última Aprovação RC]]</f>
        <v>0</v>
      </c>
      <c r="J815" s="1" t="str">
        <f t="shared" ca="1" si="22"/>
        <v/>
      </c>
      <c r="K815" s="11">
        <f>Tabela2[[#This Row],[SLA
Padrão]]-Tabela2[[#This Row],[SLA Atendimento]]</f>
        <v>0</v>
      </c>
      <c r="L815" s="11"/>
      <c r="O815" s="1" t="s">
        <v>30</v>
      </c>
      <c r="P815" s="2">
        <f>Tabela2[[#This Row],[Proposta
 Inicial]]-Tabela2[[#This Row],[Proposta
 Negociada]]</f>
        <v>0</v>
      </c>
      <c r="Q815" s="4" t="e">
        <f>Tabela2[[#This Row],[Proposta
 Negociada]]/Tabela2[[#This Row],[Proposta
 Inicial]]-1</f>
        <v>#DIV/0!</v>
      </c>
      <c r="S815"/>
    </row>
    <row r="816" spans="1:19" ht="15" customHeight="1">
      <c r="A816" s="9"/>
      <c r="B816" s="9"/>
      <c r="C816" s="1">
        <f>Tabela2[[#This Row],[Data
Pedido]]-Tabela2[[#This Row],[Data Última Aprovação RC]]</f>
        <v>0</v>
      </c>
      <c r="J816" s="1" t="str">
        <f t="shared" ca="1" si="22"/>
        <v/>
      </c>
      <c r="K816" s="11">
        <f>Tabela2[[#This Row],[SLA
Padrão]]-Tabela2[[#This Row],[SLA Atendimento]]</f>
        <v>0</v>
      </c>
      <c r="L816" s="11"/>
      <c r="O816" s="1" t="s">
        <v>30</v>
      </c>
      <c r="P816" s="2">
        <f>Tabela2[[#This Row],[Proposta
 Inicial]]-Tabela2[[#This Row],[Proposta
 Negociada]]</f>
        <v>0</v>
      </c>
      <c r="Q816" s="4" t="e">
        <f>Tabela2[[#This Row],[Proposta
 Negociada]]/Tabela2[[#This Row],[Proposta
 Inicial]]-1</f>
        <v>#DIV/0!</v>
      </c>
      <c r="S816"/>
    </row>
    <row r="817" spans="1:19" ht="15" customHeight="1">
      <c r="A817" s="9"/>
      <c r="B817" s="9"/>
      <c r="C817" s="1">
        <f>Tabela2[[#This Row],[Data
Pedido]]-Tabela2[[#This Row],[Data Última Aprovação RC]]</f>
        <v>0</v>
      </c>
      <c r="J817" s="1" t="str">
        <f t="shared" ca="1" si="22"/>
        <v/>
      </c>
      <c r="K817" s="11">
        <f>Tabela2[[#This Row],[SLA
Padrão]]-Tabela2[[#This Row],[SLA Atendimento]]</f>
        <v>0</v>
      </c>
      <c r="L817" s="11"/>
      <c r="O817" s="1" t="s">
        <v>30</v>
      </c>
      <c r="P817" s="2">
        <f>Tabela2[[#This Row],[Proposta
 Inicial]]-Tabela2[[#This Row],[Proposta
 Negociada]]</f>
        <v>0</v>
      </c>
      <c r="Q817" s="4" t="e">
        <f>Tabela2[[#This Row],[Proposta
 Negociada]]/Tabela2[[#This Row],[Proposta
 Inicial]]-1</f>
        <v>#DIV/0!</v>
      </c>
      <c r="S817"/>
    </row>
    <row r="818" spans="1:19" ht="15" customHeight="1">
      <c r="A818" s="9"/>
      <c r="B818" s="9"/>
      <c r="C818" s="1">
        <f>Tabela2[[#This Row],[Data
Pedido]]-Tabela2[[#This Row],[Data Última Aprovação RC]]</f>
        <v>0</v>
      </c>
      <c r="J818" s="1" t="str">
        <f t="shared" ca="1" si="22"/>
        <v/>
      </c>
      <c r="K818" s="11">
        <f>Tabela2[[#This Row],[SLA
Padrão]]-Tabela2[[#This Row],[SLA Atendimento]]</f>
        <v>0</v>
      </c>
      <c r="L818" s="11"/>
      <c r="O818" s="1" t="s">
        <v>30</v>
      </c>
      <c r="P818" s="2">
        <f>Tabela2[[#This Row],[Proposta
 Inicial]]-Tabela2[[#This Row],[Proposta
 Negociada]]</f>
        <v>0</v>
      </c>
      <c r="Q818" s="4" t="e">
        <f>Tabela2[[#This Row],[Proposta
 Negociada]]/Tabela2[[#This Row],[Proposta
 Inicial]]-1</f>
        <v>#DIV/0!</v>
      </c>
      <c r="S818"/>
    </row>
    <row r="819" spans="1:19" ht="15" customHeight="1">
      <c r="A819" s="9"/>
      <c r="B819" s="9"/>
      <c r="C819" s="1">
        <f>Tabela2[[#This Row],[Data
Pedido]]-Tabela2[[#This Row],[Data Última Aprovação RC]]</f>
        <v>0</v>
      </c>
      <c r="J819" s="1" t="str">
        <f t="shared" ca="1" si="22"/>
        <v/>
      </c>
      <c r="K819" s="11">
        <f>Tabela2[[#This Row],[SLA
Padrão]]-Tabela2[[#This Row],[SLA Atendimento]]</f>
        <v>0</v>
      </c>
      <c r="L819" s="11"/>
      <c r="O819" s="1" t="s">
        <v>30</v>
      </c>
      <c r="P819" s="2">
        <f>Tabela2[[#This Row],[Proposta
 Inicial]]-Tabela2[[#This Row],[Proposta
 Negociada]]</f>
        <v>0</v>
      </c>
      <c r="Q819" s="4" t="e">
        <f>Tabela2[[#This Row],[Proposta
 Negociada]]/Tabela2[[#This Row],[Proposta
 Inicial]]-1</f>
        <v>#DIV/0!</v>
      </c>
      <c r="S819"/>
    </row>
    <row r="820" spans="1:19" ht="15" customHeight="1">
      <c r="A820" s="9"/>
      <c r="B820" s="9"/>
      <c r="C820" s="1">
        <f>Tabela2[[#This Row],[Data
Pedido]]-Tabela2[[#This Row],[Data Última Aprovação RC]]</f>
        <v>0</v>
      </c>
      <c r="J820" s="1" t="str">
        <f t="shared" ca="1" si="22"/>
        <v/>
      </c>
      <c r="K820" s="11">
        <f>Tabela2[[#This Row],[SLA
Padrão]]-Tabela2[[#This Row],[SLA Atendimento]]</f>
        <v>0</v>
      </c>
      <c r="L820" s="11"/>
      <c r="O820" s="1" t="s">
        <v>30</v>
      </c>
      <c r="P820" s="2">
        <f>Tabela2[[#This Row],[Proposta
 Inicial]]-Tabela2[[#This Row],[Proposta
 Negociada]]</f>
        <v>0</v>
      </c>
      <c r="Q820" s="4" t="e">
        <f>Tabela2[[#This Row],[Proposta
 Negociada]]/Tabela2[[#This Row],[Proposta
 Inicial]]-1</f>
        <v>#DIV/0!</v>
      </c>
      <c r="S820"/>
    </row>
    <row r="821" spans="1:19" ht="15" customHeight="1">
      <c r="A821" s="9"/>
      <c r="B821" s="9"/>
      <c r="C821" s="1">
        <f>Tabela2[[#This Row],[Data
Pedido]]-Tabela2[[#This Row],[Data Última Aprovação RC]]</f>
        <v>0</v>
      </c>
      <c r="J821" s="1" t="str">
        <f t="shared" ca="1" si="22"/>
        <v/>
      </c>
      <c r="K821" s="11">
        <f>Tabela2[[#This Row],[SLA
Padrão]]-Tabela2[[#This Row],[SLA Atendimento]]</f>
        <v>0</v>
      </c>
      <c r="L821" s="11"/>
      <c r="O821" s="1" t="s">
        <v>30</v>
      </c>
      <c r="P821" s="2">
        <f>Tabela2[[#This Row],[Proposta
 Inicial]]-Tabela2[[#This Row],[Proposta
 Negociada]]</f>
        <v>0</v>
      </c>
      <c r="Q821" s="4" t="e">
        <f>Tabela2[[#This Row],[Proposta
 Negociada]]/Tabela2[[#This Row],[Proposta
 Inicial]]-1</f>
        <v>#DIV/0!</v>
      </c>
      <c r="S821"/>
    </row>
    <row r="822" spans="1:19" ht="15" customHeight="1">
      <c r="A822" s="9"/>
      <c r="B822" s="9"/>
      <c r="C822" s="1">
        <f>Tabela2[[#This Row],[Data
Pedido]]-Tabela2[[#This Row],[Data Última Aprovação RC]]</f>
        <v>0</v>
      </c>
      <c r="J822" s="1" t="str">
        <f t="shared" ca="1" si="22"/>
        <v/>
      </c>
      <c r="K822" s="11">
        <f>Tabela2[[#This Row],[SLA
Padrão]]-Tabela2[[#This Row],[SLA Atendimento]]</f>
        <v>0</v>
      </c>
      <c r="L822" s="11"/>
      <c r="O822" s="1" t="s">
        <v>30</v>
      </c>
      <c r="P822" s="2">
        <f>Tabela2[[#This Row],[Proposta
 Inicial]]-Tabela2[[#This Row],[Proposta
 Negociada]]</f>
        <v>0</v>
      </c>
      <c r="Q822" s="4" t="e">
        <f>Tabela2[[#This Row],[Proposta
 Negociada]]/Tabela2[[#This Row],[Proposta
 Inicial]]-1</f>
        <v>#DIV/0!</v>
      </c>
      <c r="S822"/>
    </row>
    <row r="823" spans="1:19" ht="15" customHeight="1">
      <c r="A823" s="9"/>
      <c r="B823" s="9"/>
      <c r="C823" s="1">
        <f>Tabela2[[#This Row],[Data
Pedido]]-Tabela2[[#This Row],[Data Última Aprovação RC]]</f>
        <v>0</v>
      </c>
      <c r="J823" s="1" t="str">
        <f t="shared" ca="1" si="22"/>
        <v/>
      </c>
      <c r="K823" s="11">
        <f>Tabela2[[#This Row],[SLA
Padrão]]-Tabela2[[#This Row],[SLA Atendimento]]</f>
        <v>0</v>
      </c>
      <c r="L823" s="11"/>
      <c r="O823" s="1" t="s">
        <v>30</v>
      </c>
      <c r="P823" s="2">
        <f>Tabela2[[#This Row],[Proposta
 Inicial]]-Tabela2[[#This Row],[Proposta
 Negociada]]</f>
        <v>0</v>
      </c>
      <c r="Q823" s="4" t="e">
        <f>Tabela2[[#This Row],[Proposta
 Negociada]]/Tabela2[[#This Row],[Proposta
 Inicial]]-1</f>
        <v>#DIV/0!</v>
      </c>
      <c r="S823"/>
    </row>
    <row r="824" spans="1:19" ht="15" customHeight="1">
      <c r="A824" s="9"/>
      <c r="B824" s="9"/>
      <c r="C824" s="1">
        <f>Tabela2[[#This Row],[Data
Pedido]]-Tabela2[[#This Row],[Data Última Aprovação RC]]</f>
        <v>0</v>
      </c>
      <c r="J824" s="1" t="str">
        <f t="shared" ca="1" si="22"/>
        <v/>
      </c>
      <c r="K824" s="11">
        <f>Tabela2[[#This Row],[SLA
Padrão]]-Tabela2[[#This Row],[SLA Atendimento]]</f>
        <v>0</v>
      </c>
      <c r="L824" s="11"/>
      <c r="O824" s="1" t="s">
        <v>30</v>
      </c>
      <c r="P824" s="2">
        <f>Tabela2[[#This Row],[Proposta
 Inicial]]-Tabela2[[#This Row],[Proposta
 Negociada]]</f>
        <v>0</v>
      </c>
      <c r="Q824" s="4" t="e">
        <f>Tabela2[[#This Row],[Proposta
 Negociada]]/Tabela2[[#This Row],[Proposta
 Inicial]]-1</f>
        <v>#DIV/0!</v>
      </c>
      <c r="S824"/>
    </row>
    <row r="825" spans="1:19" ht="15" customHeight="1">
      <c r="A825" s="9"/>
      <c r="B825" s="9"/>
      <c r="C825" s="1">
        <f>Tabela2[[#This Row],[Data
Pedido]]-Tabela2[[#This Row],[Data Última Aprovação RC]]</f>
        <v>0</v>
      </c>
      <c r="J825" s="1" t="str">
        <f t="shared" ca="1" si="22"/>
        <v/>
      </c>
      <c r="K825" s="11">
        <f>Tabela2[[#This Row],[SLA
Padrão]]-Tabela2[[#This Row],[SLA Atendimento]]</f>
        <v>0</v>
      </c>
      <c r="L825" s="11"/>
      <c r="O825" s="1" t="s">
        <v>30</v>
      </c>
      <c r="P825" s="2">
        <f>Tabela2[[#This Row],[Proposta
 Inicial]]-Tabela2[[#This Row],[Proposta
 Negociada]]</f>
        <v>0</v>
      </c>
      <c r="Q825" s="4" t="e">
        <f>Tabela2[[#This Row],[Proposta
 Negociada]]/Tabela2[[#This Row],[Proposta
 Inicial]]-1</f>
        <v>#DIV/0!</v>
      </c>
      <c r="S825"/>
    </row>
    <row r="826" spans="1:19" ht="15" customHeight="1">
      <c r="A826" s="9"/>
      <c r="B826" s="9"/>
      <c r="C826" s="1">
        <f>Tabela2[[#This Row],[Data
Pedido]]-Tabela2[[#This Row],[Data Última Aprovação RC]]</f>
        <v>0</v>
      </c>
      <c r="J826" s="1" t="str">
        <f t="shared" ca="1" si="22"/>
        <v/>
      </c>
      <c r="K826" s="11">
        <f>Tabela2[[#This Row],[SLA
Padrão]]-Tabela2[[#This Row],[SLA Atendimento]]</f>
        <v>0</v>
      </c>
      <c r="L826" s="11"/>
      <c r="O826" s="1" t="s">
        <v>30</v>
      </c>
      <c r="P826" s="2">
        <f>Tabela2[[#This Row],[Proposta
 Inicial]]-Tabela2[[#This Row],[Proposta
 Negociada]]</f>
        <v>0</v>
      </c>
      <c r="Q826" s="4" t="e">
        <f>Tabela2[[#This Row],[Proposta
 Negociada]]/Tabela2[[#This Row],[Proposta
 Inicial]]-1</f>
        <v>#DIV/0!</v>
      </c>
      <c r="S826"/>
    </row>
    <row r="827" spans="1:19" ht="15" customHeight="1">
      <c r="A827" s="9"/>
      <c r="B827" s="9"/>
      <c r="C827" s="1">
        <f>Tabela2[[#This Row],[Data
Pedido]]-Tabela2[[#This Row],[Data Última Aprovação RC]]</f>
        <v>0</v>
      </c>
      <c r="J827" s="1" t="str">
        <f t="shared" ca="1" si="22"/>
        <v/>
      </c>
      <c r="K827" s="11">
        <f>Tabela2[[#This Row],[SLA
Padrão]]-Tabela2[[#This Row],[SLA Atendimento]]</f>
        <v>0</v>
      </c>
      <c r="L827" s="11"/>
      <c r="O827" s="1" t="s">
        <v>30</v>
      </c>
      <c r="P827" s="2">
        <f>Tabela2[[#This Row],[Proposta
 Inicial]]-Tabela2[[#This Row],[Proposta
 Negociada]]</f>
        <v>0</v>
      </c>
      <c r="Q827" s="4" t="e">
        <f>Tabela2[[#This Row],[Proposta
 Negociada]]/Tabela2[[#This Row],[Proposta
 Inicial]]-1</f>
        <v>#DIV/0!</v>
      </c>
      <c r="S827"/>
    </row>
    <row r="828" spans="1:19" ht="15" customHeight="1">
      <c r="A828" s="9"/>
      <c r="B828" s="9"/>
      <c r="C828" s="1">
        <f>Tabela2[[#This Row],[Data
Pedido]]-Tabela2[[#This Row],[Data Última Aprovação RC]]</f>
        <v>0</v>
      </c>
      <c r="J828" s="1" t="str">
        <f t="shared" ca="1" si="22"/>
        <v/>
      </c>
      <c r="K828" s="11">
        <f>Tabela2[[#This Row],[SLA
Padrão]]-Tabela2[[#This Row],[SLA Atendimento]]</f>
        <v>0</v>
      </c>
      <c r="L828" s="11"/>
      <c r="O828" s="1" t="s">
        <v>30</v>
      </c>
      <c r="P828" s="2">
        <f>Tabela2[[#This Row],[Proposta
 Inicial]]-Tabela2[[#This Row],[Proposta
 Negociada]]</f>
        <v>0</v>
      </c>
      <c r="Q828" s="4" t="e">
        <f>Tabela2[[#This Row],[Proposta
 Negociada]]/Tabela2[[#This Row],[Proposta
 Inicial]]-1</f>
        <v>#DIV/0!</v>
      </c>
      <c r="S828"/>
    </row>
    <row r="829" spans="1:19" ht="15" customHeight="1">
      <c r="A829" s="9"/>
      <c r="B829" s="9"/>
      <c r="C829" s="1">
        <f>Tabela2[[#This Row],[Data
Pedido]]-Tabela2[[#This Row],[Data Última Aprovação RC]]</f>
        <v>0</v>
      </c>
      <c r="J829" s="1" t="str">
        <f t="shared" ca="1" si="22"/>
        <v/>
      </c>
      <c r="K829" s="11">
        <f>Tabela2[[#This Row],[SLA
Padrão]]-Tabela2[[#This Row],[SLA Atendimento]]</f>
        <v>0</v>
      </c>
      <c r="L829" s="11"/>
      <c r="O829" s="1" t="s">
        <v>30</v>
      </c>
      <c r="P829" s="2">
        <f>Tabela2[[#This Row],[Proposta
 Inicial]]-Tabela2[[#This Row],[Proposta
 Negociada]]</f>
        <v>0</v>
      </c>
      <c r="Q829" s="4" t="e">
        <f>Tabela2[[#This Row],[Proposta
 Negociada]]/Tabela2[[#This Row],[Proposta
 Inicial]]-1</f>
        <v>#DIV/0!</v>
      </c>
      <c r="S829"/>
    </row>
    <row r="830" spans="1:19" ht="15" customHeight="1">
      <c r="A830" s="9"/>
      <c r="B830" s="9"/>
      <c r="C830" s="1">
        <f>Tabela2[[#This Row],[Data
Pedido]]-Tabela2[[#This Row],[Data Última Aprovação RC]]</f>
        <v>0</v>
      </c>
      <c r="J830" s="1" t="str">
        <f t="shared" ca="1" si="22"/>
        <v/>
      </c>
      <c r="K830" s="11">
        <f>Tabela2[[#This Row],[SLA
Padrão]]-Tabela2[[#This Row],[SLA Atendimento]]</f>
        <v>0</v>
      </c>
      <c r="L830" s="11"/>
      <c r="O830" s="1" t="s">
        <v>30</v>
      </c>
      <c r="P830" s="2">
        <f>Tabela2[[#This Row],[Proposta
 Inicial]]-Tabela2[[#This Row],[Proposta
 Negociada]]</f>
        <v>0</v>
      </c>
      <c r="Q830" s="4" t="e">
        <f>Tabela2[[#This Row],[Proposta
 Negociada]]/Tabela2[[#This Row],[Proposta
 Inicial]]-1</f>
        <v>#DIV/0!</v>
      </c>
      <c r="S830"/>
    </row>
    <row r="831" spans="1:19" ht="15" customHeight="1">
      <c r="A831" s="9"/>
      <c r="B831" s="9"/>
      <c r="C831" s="1">
        <f>Tabela2[[#This Row],[Data
Pedido]]-Tabela2[[#This Row],[Data Última Aprovação RC]]</f>
        <v>0</v>
      </c>
      <c r="J831" s="1" t="str">
        <f t="shared" ca="1" si="22"/>
        <v/>
      </c>
      <c r="K831" s="11">
        <f>Tabela2[[#This Row],[SLA
Padrão]]-Tabela2[[#This Row],[SLA Atendimento]]</f>
        <v>0</v>
      </c>
      <c r="L831" s="11"/>
      <c r="O831" s="1" t="s">
        <v>30</v>
      </c>
      <c r="P831" s="2">
        <f>Tabela2[[#This Row],[Proposta
 Inicial]]-Tabela2[[#This Row],[Proposta
 Negociada]]</f>
        <v>0</v>
      </c>
      <c r="Q831" s="4" t="e">
        <f>Tabela2[[#This Row],[Proposta
 Negociada]]/Tabela2[[#This Row],[Proposta
 Inicial]]-1</f>
        <v>#DIV/0!</v>
      </c>
      <c r="S831"/>
    </row>
    <row r="832" spans="1:19" ht="15" customHeight="1">
      <c r="A832" s="9"/>
      <c r="B832" s="9"/>
      <c r="C832" s="1">
        <f>Tabela2[[#This Row],[Data
Pedido]]-Tabela2[[#This Row],[Data Última Aprovação RC]]</f>
        <v>0</v>
      </c>
      <c r="J832" s="1" t="str">
        <f t="shared" ca="1" si="22"/>
        <v/>
      </c>
      <c r="K832" s="11">
        <f>Tabela2[[#This Row],[SLA
Padrão]]-Tabela2[[#This Row],[SLA Atendimento]]</f>
        <v>0</v>
      </c>
      <c r="L832" s="11"/>
      <c r="O832" s="1" t="s">
        <v>30</v>
      </c>
      <c r="P832" s="2">
        <f>Tabela2[[#This Row],[Proposta
 Inicial]]-Tabela2[[#This Row],[Proposta
 Negociada]]</f>
        <v>0</v>
      </c>
      <c r="Q832" s="4" t="e">
        <f>Tabela2[[#This Row],[Proposta
 Negociada]]/Tabela2[[#This Row],[Proposta
 Inicial]]-1</f>
        <v>#DIV/0!</v>
      </c>
      <c r="S832"/>
    </row>
    <row r="833" spans="1:19" ht="15" customHeight="1">
      <c r="A833" s="9"/>
      <c r="B833" s="9"/>
      <c r="C833" s="1">
        <f>Tabela2[[#This Row],[Data
Pedido]]-Tabela2[[#This Row],[Data Última Aprovação RC]]</f>
        <v>0</v>
      </c>
      <c r="J833" s="1" t="str">
        <f t="shared" ca="1" si="22"/>
        <v/>
      </c>
      <c r="K833" s="11">
        <f>Tabela2[[#This Row],[SLA
Padrão]]-Tabela2[[#This Row],[SLA Atendimento]]</f>
        <v>0</v>
      </c>
      <c r="L833" s="11"/>
      <c r="O833" s="1" t="s">
        <v>30</v>
      </c>
      <c r="P833" s="2">
        <f>Tabela2[[#This Row],[Proposta
 Inicial]]-Tabela2[[#This Row],[Proposta
 Negociada]]</f>
        <v>0</v>
      </c>
      <c r="Q833" s="4" t="e">
        <f>Tabela2[[#This Row],[Proposta
 Negociada]]/Tabela2[[#This Row],[Proposta
 Inicial]]-1</f>
        <v>#DIV/0!</v>
      </c>
      <c r="S833"/>
    </row>
    <row r="834" spans="1:19" ht="15" customHeight="1">
      <c r="A834" s="9"/>
      <c r="B834" s="9"/>
      <c r="C834" s="1">
        <f>Tabela2[[#This Row],[Data
Pedido]]-Tabela2[[#This Row],[Data Última Aprovação RC]]</f>
        <v>0</v>
      </c>
      <c r="J834" s="1" t="str">
        <f t="shared" ca="1" si="22"/>
        <v/>
      </c>
      <c r="K834" s="11">
        <f>Tabela2[[#This Row],[SLA
Padrão]]-Tabela2[[#This Row],[SLA Atendimento]]</f>
        <v>0</v>
      </c>
      <c r="L834" s="11"/>
      <c r="O834" s="1" t="s">
        <v>30</v>
      </c>
      <c r="P834" s="2">
        <f>Tabela2[[#This Row],[Proposta
 Inicial]]-Tabela2[[#This Row],[Proposta
 Negociada]]</f>
        <v>0</v>
      </c>
      <c r="Q834" s="4" t="e">
        <f>Tabela2[[#This Row],[Proposta
 Negociada]]/Tabela2[[#This Row],[Proposta
 Inicial]]-1</f>
        <v>#DIV/0!</v>
      </c>
      <c r="S834"/>
    </row>
    <row r="835" spans="1:19" ht="15" customHeight="1">
      <c r="A835" s="9"/>
      <c r="B835" s="9"/>
      <c r="C835" s="1">
        <f>Tabela2[[#This Row],[Data
Pedido]]-Tabela2[[#This Row],[Data Última Aprovação RC]]</f>
        <v>0</v>
      </c>
      <c r="J835" s="1" t="str">
        <f t="shared" ca="1" si="22"/>
        <v/>
      </c>
      <c r="K835" s="11">
        <f>Tabela2[[#This Row],[SLA
Padrão]]-Tabela2[[#This Row],[SLA Atendimento]]</f>
        <v>0</v>
      </c>
      <c r="L835" s="11"/>
      <c r="O835" s="1" t="s">
        <v>30</v>
      </c>
      <c r="P835" s="2">
        <f>Tabela2[[#This Row],[Proposta
 Inicial]]-Tabela2[[#This Row],[Proposta
 Negociada]]</f>
        <v>0</v>
      </c>
      <c r="Q835" s="4" t="e">
        <f>Tabela2[[#This Row],[Proposta
 Negociada]]/Tabela2[[#This Row],[Proposta
 Inicial]]-1</f>
        <v>#DIV/0!</v>
      </c>
      <c r="S835"/>
    </row>
    <row r="836" spans="1:19" ht="15" customHeight="1">
      <c r="A836" s="9"/>
      <c r="B836" s="9"/>
      <c r="C836" s="1">
        <f>Tabela2[[#This Row],[Data
Pedido]]-Tabela2[[#This Row],[Data Última Aprovação RC]]</f>
        <v>0</v>
      </c>
      <c r="J836" s="1" t="str">
        <f t="shared" ca="1" si="22"/>
        <v/>
      </c>
      <c r="K836" s="11">
        <f>Tabela2[[#This Row],[SLA
Padrão]]-Tabela2[[#This Row],[SLA Atendimento]]</f>
        <v>0</v>
      </c>
      <c r="L836" s="11"/>
      <c r="O836" s="1" t="s">
        <v>30</v>
      </c>
      <c r="P836" s="2">
        <f>Tabela2[[#This Row],[Proposta
 Inicial]]-Tabela2[[#This Row],[Proposta
 Negociada]]</f>
        <v>0</v>
      </c>
      <c r="Q836" s="4" t="e">
        <f>Tabela2[[#This Row],[Proposta
 Negociada]]/Tabela2[[#This Row],[Proposta
 Inicial]]-1</f>
        <v>#DIV/0!</v>
      </c>
      <c r="S836"/>
    </row>
    <row r="837" spans="1:19" ht="15" customHeight="1">
      <c r="A837" s="9"/>
      <c r="B837" s="9"/>
      <c r="C837" s="1">
        <f>Tabela2[[#This Row],[Data
Pedido]]-Tabela2[[#This Row],[Data Última Aprovação RC]]</f>
        <v>0</v>
      </c>
      <c r="J837" s="1" t="str">
        <f t="shared" ca="1" si="22"/>
        <v/>
      </c>
      <c r="K837" s="11">
        <f>Tabela2[[#This Row],[SLA
Padrão]]-Tabela2[[#This Row],[SLA Atendimento]]</f>
        <v>0</v>
      </c>
      <c r="L837" s="11"/>
      <c r="O837" s="1" t="s">
        <v>30</v>
      </c>
      <c r="P837" s="2">
        <f>Tabela2[[#This Row],[Proposta
 Inicial]]-Tabela2[[#This Row],[Proposta
 Negociada]]</f>
        <v>0</v>
      </c>
      <c r="Q837" s="4" t="e">
        <f>Tabela2[[#This Row],[Proposta
 Negociada]]/Tabela2[[#This Row],[Proposta
 Inicial]]-1</f>
        <v>#DIV/0!</v>
      </c>
      <c r="S837"/>
    </row>
    <row r="838" spans="1:19" ht="15" customHeight="1">
      <c r="A838" s="9"/>
      <c r="B838" s="9"/>
      <c r="C838" s="1">
        <f>Tabela2[[#This Row],[Data
Pedido]]-Tabela2[[#This Row],[Data Última Aprovação RC]]</f>
        <v>0</v>
      </c>
      <c r="J838" s="1" t="str">
        <f t="shared" ca="1" si="22"/>
        <v/>
      </c>
      <c r="K838" s="11">
        <f>Tabela2[[#This Row],[SLA
Padrão]]-Tabela2[[#This Row],[SLA Atendimento]]</f>
        <v>0</v>
      </c>
      <c r="L838" s="11"/>
      <c r="O838" s="1" t="s">
        <v>30</v>
      </c>
      <c r="P838" s="2">
        <f>Tabela2[[#This Row],[Proposta
 Inicial]]-Tabela2[[#This Row],[Proposta
 Negociada]]</f>
        <v>0</v>
      </c>
      <c r="Q838" s="4" t="e">
        <f>Tabela2[[#This Row],[Proposta
 Negociada]]/Tabela2[[#This Row],[Proposta
 Inicial]]-1</f>
        <v>#DIV/0!</v>
      </c>
      <c r="S838"/>
    </row>
    <row r="839" spans="1:19" ht="15" customHeight="1">
      <c r="A839" s="9"/>
      <c r="B839" s="9"/>
      <c r="C839" s="1">
        <f>Tabela2[[#This Row],[Data
Pedido]]-Tabela2[[#This Row],[Data Última Aprovação RC]]</f>
        <v>0</v>
      </c>
      <c r="J839" s="1" t="str">
        <f t="shared" ca="1" si="22"/>
        <v/>
      </c>
      <c r="K839" s="11">
        <f>Tabela2[[#This Row],[SLA
Padrão]]-Tabela2[[#This Row],[SLA Atendimento]]</f>
        <v>0</v>
      </c>
      <c r="L839" s="11"/>
      <c r="O839" s="1" t="s">
        <v>30</v>
      </c>
      <c r="P839" s="2">
        <f>Tabela2[[#This Row],[Proposta
 Inicial]]-Tabela2[[#This Row],[Proposta
 Negociada]]</f>
        <v>0</v>
      </c>
      <c r="Q839" s="4" t="e">
        <f>Tabela2[[#This Row],[Proposta
 Negociada]]/Tabela2[[#This Row],[Proposta
 Inicial]]-1</f>
        <v>#DIV/0!</v>
      </c>
      <c r="S839"/>
    </row>
    <row r="840" spans="1:19" ht="15" customHeight="1">
      <c r="A840" s="9"/>
      <c r="B840" s="9"/>
      <c r="C840" s="1">
        <f>Tabela2[[#This Row],[Data
Pedido]]-Tabela2[[#This Row],[Data Última Aprovação RC]]</f>
        <v>0</v>
      </c>
      <c r="J840" s="1" t="str">
        <f t="shared" ca="1" si="22"/>
        <v/>
      </c>
      <c r="K840" s="11">
        <f>Tabela2[[#This Row],[SLA
Padrão]]-Tabela2[[#This Row],[SLA Atendimento]]</f>
        <v>0</v>
      </c>
      <c r="L840" s="11"/>
      <c r="O840" s="1" t="s">
        <v>30</v>
      </c>
      <c r="P840" s="2">
        <f>Tabela2[[#This Row],[Proposta
 Inicial]]-Tabela2[[#This Row],[Proposta
 Negociada]]</f>
        <v>0</v>
      </c>
      <c r="Q840" s="4" t="e">
        <f>Tabela2[[#This Row],[Proposta
 Negociada]]/Tabela2[[#This Row],[Proposta
 Inicial]]-1</f>
        <v>#DIV/0!</v>
      </c>
      <c r="S840"/>
    </row>
    <row r="841" spans="1:19" ht="15" customHeight="1">
      <c r="A841" s="9"/>
      <c r="B841" s="9"/>
      <c r="C841" s="1">
        <f>Tabela2[[#This Row],[Data
Pedido]]-Tabela2[[#This Row],[Data Última Aprovação RC]]</f>
        <v>0</v>
      </c>
      <c r="J841" s="1" t="str">
        <f t="shared" ca="1" si="22"/>
        <v/>
      </c>
      <c r="K841" s="11">
        <f>Tabela2[[#This Row],[SLA
Padrão]]-Tabela2[[#This Row],[SLA Atendimento]]</f>
        <v>0</v>
      </c>
      <c r="L841" s="11"/>
      <c r="O841" s="1" t="s">
        <v>30</v>
      </c>
      <c r="P841" s="2">
        <f>Tabela2[[#This Row],[Proposta
 Inicial]]-Tabela2[[#This Row],[Proposta
 Negociada]]</f>
        <v>0</v>
      </c>
      <c r="Q841" s="4" t="e">
        <f>Tabela2[[#This Row],[Proposta
 Negociada]]/Tabela2[[#This Row],[Proposta
 Inicial]]-1</f>
        <v>#DIV/0!</v>
      </c>
      <c r="S841"/>
    </row>
    <row r="842" spans="1:19" ht="15" customHeight="1">
      <c r="A842" s="9"/>
      <c r="B842" s="9"/>
      <c r="C842" s="1">
        <f>Tabela2[[#This Row],[Data
Pedido]]-Tabela2[[#This Row],[Data Última Aprovação RC]]</f>
        <v>0</v>
      </c>
      <c r="J842" s="1" t="str">
        <f t="shared" ca="1" si="22"/>
        <v/>
      </c>
      <c r="K842" s="11">
        <f>Tabela2[[#This Row],[SLA
Padrão]]-Tabela2[[#This Row],[SLA Atendimento]]</f>
        <v>0</v>
      </c>
      <c r="L842" s="11"/>
      <c r="O842" s="1" t="s">
        <v>30</v>
      </c>
      <c r="P842" s="2">
        <f>Tabela2[[#This Row],[Proposta
 Inicial]]-Tabela2[[#This Row],[Proposta
 Negociada]]</f>
        <v>0</v>
      </c>
      <c r="Q842" s="4" t="e">
        <f>Tabela2[[#This Row],[Proposta
 Negociada]]/Tabela2[[#This Row],[Proposta
 Inicial]]-1</f>
        <v>#DIV/0!</v>
      </c>
      <c r="S842"/>
    </row>
    <row r="843" spans="1:19" ht="15" customHeight="1">
      <c r="A843" s="9"/>
      <c r="B843" s="9"/>
      <c r="C843" s="1">
        <f>Tabela2[[#This Row],[Data
Pedido]]-Tabela2[[#This Row],[Data Última Aprovação RC]]</f>
        <v>0</v>
      </c>
      <c r="J843" s="1" t="str">
        <f t="shared" ca="1" si="22"/>
        <v/>
      </c>
      <c r="K843" s="11">
        <f>Tabela2[[#This Row],[SLA
Padrão]]-Tabela2[[#This Row],[SLA Atendimento]]</f>
        <v>0</v>
      </c>
      <c r="L843" s="11"/>
      <c r="O843" s="1" t="s">
        <v>30</v>
      </c>
      <c r="P843" s="2">
        <f>Tabela2[[#This Row],[Proposta
 Inicial]]-Tabela2[[#This Row],[Proposta
 Negociada]]</f>
        <v>0</v>
      </c>
      <c r="Q843" s="4" t="e">
        <f>Tabela2[[#This Row],[Proposta
 Negociada]]/Tabela2[[#This Row],[Proposta
 Inicial]]-1</f>
        <v>#DIV/0!</v>
      </c>
      <c r="S843"/>
    </row>
    <row r="844" spans="1:19" ht="15" customHeight="1">
      <c r="A844" s="9"/>
      <c r="B844" s="9"/>
      <c r="C844" s="1">
        <f>Tabela2[[#This Row],[Data
Pedido]]-Tabela2[[#This Row],[Data Última Aprovação RC]]</f>
        <v>0</v>
      </c>
      <c r="J844" s="1" t="str">
        <f t="shared" ca="1" si="22"/>
        <v/>
      </c>
      <c r="K844" s="11">
        <f>Tabela2[[#This Row],[SLA
Padrão]]-Tabela2[[#This Row],[SLA Atendimento]]</f>
        <v>0</v>
      </c>
      <c r="L844" s="11"/>
      <c r="O844" s="1" t="s">
        <v>30</v>
      </c>
      <c r="P844" s="2">
        <f>Tabela2[[#This Row],[Proposta
 Inicial]]-Tabela2[[#This Row],[Proposta
 Negociada]]</f>
        <v>0</v>
      </c>
      <c r="Q844" s="4" t="e">
        <f>Tabela2[[#This Row],[Proposta
 Negociada]]/Tabela2[[#This Row],[Proposta
 Inicial]]-1</f>
        <v>#DIV/0!</v>
      </c>
      <c r="S844"/>
    </row>
    <row r="845" spans="1:19" ht="15" customHeight="1">
      <c r="A845" s="9"/>
      <c r="B845" s="9"/>
      <c r="C845" s="1">
        <f>Tabela2[[#This Row],[Data
Pedido]]-Tabela2[[#This Row],[Data Última Aprovação RC]]</f>
        <v>0</v>
      </c>
      <c r="J845" s="1" t="str">
        <f t="shared" ca="1" si="22"/>
        <v/>
      </c>
      <c r="K845" s="11">
        <f>Tabela2[[#This Row],[SLA
Padrão]]-Tabela2[[#This Row],[SLA Atendimento]]</f>
        <v>0</v>
      </c>
      <c r="L845" s="11"/>
      <c r="O845" s="1" t="s">
        <v>30</v>
      </c>
      <c r="P845" s="2">
        <f>Tabela2[[#This Row],[Proposta
 Inicial]]-Tabela2[[#This Row],[Proposta
 Negociada]]</f>
        <v>0</v>
      </c>
      <c r="Q845" s="4" t="e">
        <f>Tabela2[[#This Row],[Proposta
 Negociada]]/Tabela2[[#This Row],[Proposta
 Inicial]]-1</f>
        <v>#DIV/0!</v>
      </c>
      <c r="S845"/>
    </row>
    <row r="846" spans="1:19" ht="15" customHeight="1">
      <c r="A846" s="9"/>
      <c r="B846" s="9"/>
      <c r="C846" s="1">
        <f>Tabela2[[#This Row],[Data
Pedido]]-Tabela2[[#This Row],[Data Última Aprovação RC]]</f>
        <v>0</v>
      </c>
      <c r="J846" s="1" t="str">
        <f t="shared" ca="1" si="22"/>
        <v/>
      </c>
      <c r="K846" s="11">
        <f>Tabela2[[#This Row],[SLA
Padrão]]-Tabela2[[#This Row],[SLA Atendimento]]</f>
        <v>0</v>
      </c>
      <c r="L846" s="11"/>
      <c r="O846" s="1" t="s">
        <v>30</v>
      </c>
      <c r="P846" s="2">
        <f>Tabela2[[#This Row],[Proposta
 Inicial]]-Tabela2[[#This Row],[Proposta
 Negociada]]</f>
        <v>0</v>
      </c>
      <c r="Q846" s="4" t="e">
        <f>Tabela2[[#This Row],[Proposta
 Negociada]]/Tabela2[[#This Row],[Proposta
 Inicial]]-1</f>
        <v>#DIV/0!</v>
      </c>
      <c r="S846"/>
    </row>
    <row r="847" spans="1:19" ht="15" customHeight="1">
      <c r="A847" s="9"/>
      <c r="B847" s="9"/>
      <c r="C847" s="1">
        <f>Tabela2[[#This Row],[Data
Pedido]]-Tabela2[[#This Row],[Data Última Aprovação RC]]</f>
        <v>0</v>
      </c>
      <c r="J847" s="1" t="str">
        <f t="shared" ca="1" si="22"/>
        <v/>
      </c>
      <c r="K847" s="11">
        <f>Tabela2[[#This Row],[SLA
Padrão]]-Tabela2[[#This Row],[SLA Atendimento]]</f>
        <v>0</v>
      </c>
      <c r="L847" s="11"/>
      <c r="O847" s="1" t="s">
        <v>30</v>
      </c>
      <c r="P847" s="2">
        <f>Tabela2[[#This Row],[Proposta
 Inicial]]-Tabela2[[#This Row],[Proposta
 Negociada]]</f>
        <v>0</v>
      </c>
      <c r="Q847" s="4" t="e">
        <f>Tabela2[[#This Row],[Proposta
 Negociada]]/Tabela2[[#This Row],[Proposta
 Inicial]]-1</f>
        <v>#DIV/0!</v>
      </c>
      <c r="S847"/>
    </row>
    <row r="848" spans="1:19" ht="15" customHeight="1">
      <c r="A848" s="9"/>
      <c r="B848" s="9"/>
      <c r="C848" s="1">
        <f>Tabela2[[#This Row],[Data
Pedido]]-Tabela2[[#This Row],[Data Última Aprovação RC]]</f>
        <v>0</v>
      </c>
      <c r="J848" s="1" t="str">
        <f t="shared" ca="1" si="22"/>
        <v/>
      </c>
      <c r="K848" s="11">
        <f>Tabela2[[#This Row],[SLA
Padrão]]-Tabela2[[#This Row],[SLA Atendimento]]</f>
        <v>0</v>
      </c>
      <c r="L848" s="11"/>
      <c r="O848" s="1" t="s">
        <v>30</v>
      </c>
      <c r="P848" s="2">
        <f>Tabela2[[#This Row],[Proposta
 Inicial]]-Tabela2[[#This Row],[Proposta
 Negociada]]</f>
        <v>0</v>
      </c>
      <c r="Q848" s="4" t="e">
        <f>Tabela2[[#This Row],[Proposta
 Negociada]]/Tabela2[[#This Row],[Proposta
 Inicial]]-1</f>
        <v>#DIV/0!</v>
      </c>
      <c r="S848"/>
    </row>
    <row r="849" spans="1:19" ht="15" customHeight="1">
      <c r="A849" s="9"/>
      <c r="B849" s="9"/>
      <c r="C849" s="1">
        <f>Tabela2[[#This Row],[Data
Pedido]]-Tabela2[[#This Row],[Data Última Aprovação RC]]</f>
        <v>0</v>
      </c>
      <c r="J849" s="1" t="str">
        <f t="shared" ca="1" si="22"/>
        <v/>
      </c>
      <c r="K849" s="11">
        <f>Tabela2[[#This Row],[SLA
Padrão]]-Tabela2[[#This Row],[SLA Atendimento]]</f>
        <v>0</v>
      </c>
      <c r="L849" s="11"/>
      <c r="O849" s="1" t="s">
        <v>30</v>
      </c>
      <c r="P849" s="2">
        <f>Tabela2[[#This Row],[Proposta
 Inicial]]-Tabela2[[#This Row],[Proposta
 Negociada]]</f>
        <v>0</v>
      </c>
      <c r="Q849" s="4" t="e">
        <f>Tabela2[[#This Row],[Proposta
 Negociada]]/Tabela2[[#This Row],[Proposta
 Inicial]]-1</f>
        <v>#DIV/0!</v>
      </c>
      <c r="S849"/>
    </row>
    <row r="850" spans="1:19" ht="15" customHeight="1">
      <c r="A850" s="9"/>
      <c r="B850" s="9"/>
      <c r="C850" s="1">
        <f>Tabela2[[#This Row],[Data
Pedido]]-Tabela2[[#This Row],[Data Última Aprovação RC]]</f>
        <v>0</v>
      </c>
      <c r="J850" s="1" t="str">
        <f t="shared" ca="1" si="22"/>
        <v/>
      </c>
      <c r="K850" s="11">
        <f>Tabela2[[#This Row],[SLA
Padrão]]-Tabela2[[#This Row],[SLA Atendimento]]</f>
        <v>0</v>
      </c>
      <c r="L850" s="11"/>
      <c r="O850" s="1" t="s">
        <v>30</v>
      </c>
      <c r="P850" s="2">
        <f>Tabela2[[#This Row],[Proposta
 Inicial]]-Tabela2[[#This Row],[Proposta
 Negociada]]</f>
        <v>0</v>
      </c>
      <c r="Q850" s="4" t="e">
        <f>Tabela2[[#This Row],[Proposta
 Negociada]]/Tabela2[[#This Row],[Proposta
 Inicial]]-1</f>
        <v>#DIV/0!</v>
      </c>
      <c r="S850"/>
    </row>
    <row r="851" spans="1:19" ht="15" customHeight="1">
      <c r="A851" s="9"/>
      <c r="B851" s="9"/>
      <c r="C851" s="1">
        <f>Tabela2[[#This Row],[Data
Pedido]]-Tabela2[[#This Row],[Data Última Aprovação RC]]</f>
        <v>0</v>
      </c>
      <c r="J851" s="1" t="str">
        <f t="shared" ca="1" si="22"/>
        <v/>
      </c>
      <c r="K851" s="11">
        <f>Tabela2[[#This Row],[SLA
Padrão]]-Tabela2[[#This Row],[SLA Atendimento]]</f>
        <v>0</v>
      </c>
      <c r="L851" s="11"/>
      <c r="O851" s="1" t="s">
        <v>30</v>
      </c>
      <c r="P851" s="2">
        <f>Tabela2[[#This Row],[Proposta
 Inicial]]-Tabela2[[#This Row],[Proposta
 Negociada]]</f>
        <v>0</v>
      </c>
      <c r="Q851" s="4" t="e">
        <f>Tabela2[[#This Row],[Proposta
 Negociada]]/Tabela2[[#This Row],[Proposta
 Inicial]]-1</f>
        <v>#DIV/0!</v>
      </c>
      <c r="S851"/>
    </row>
    <row r="852" spans="1:19" ht="15" customHeight="1">
      <c r="A852" s="9"/>
      <c r="B852" s="9"/>
      <c r="C852" s="1">
        <f>Tabela2[[#This Row],[Data
Pedido]]-Tabela2[[#This Row],[Data Última Aprovação RC]]</f>
        <v>0</v>
      </c>
      <c r="J852" s="1" t="str">
        <f t="shared" ca="1" si="22"/>
        <v/>
      </c>
      <c r="K852" s="11">
        <f>Tabela2[[#This Row],[SLA
Padrão]]-Tabela2[[#This Row],[SLA Atendimento]]</f>
        <v>0</v>
      </c>
      <c r="L852" s="11"/>
      <c r="O852" s="1" t="s">
        <v>30</v>
      </c>
      <c r="P852" s="2">
        <f>Tabela2[[#This Row],[Proposta
 Inicial]]-Tabela2[[#This Row],[Proposta
 Negociada]]</f>
        <v>0</v>
      </c>
      <c r="Q852" s="4" t="e">
        <f>Tabela2[[#This Row],[Proposta
 Negociada]]/Tabela2[[#This Row],[Proposta
 Inicial]]-1</f>
        <v>#DIV/0!</v>
      </c>
      <c r="S852"/>
    </row>
    <row r="853" spans="1:19" ht="15" customHeight="1">
      <c r="A853" s="9"/>
      <c r="B853" s="9"/>
      <c r="C853" s="1">
        <f>Tabela2[[#This Row],[Data
Pedido]]-Tabela2[[#This Row],[Data Última Aprovação RC]]</f>
        <v>0</v>
      </c>
      <c r="J853" s="1" t="str">
        <f t="shared" ca="1" si="22"/>
        <v/>
      </c>
      <c r="K853" s="11">
        <f>Tabela2[[#This Row],[SLA
Padrão]]-Tabela2[[#This Row],[SLA Atendimento]]</f>
        <v>0</v>
      </c>
      <c r="L853" s="11"/>
      <c r="O853" s="1" t="s">
        <v>30</v>
      </c>
      <c r="P853" s="2">
        <f>Tabela2[[#This Row],[Proposta
 Inicial]]-Tabela2[[#This Row],[Proposta
 Negociada]]</f>
        <v>0</v>
      </c>
      <c r="Q853" s="4" t="e">
        <f>Tabela2[[#This Row],[Proposta
 Negociada]]/Tabela2[[#This Row],[Proposta
 Inicial]]-1</f>
        <v>#DIV/0!</v>
      </c>
      <c r="S853"/>
    </row>
    <row r="854" spans="1:19" ht="15" customHeight="1">
      <c r="A854" s="9"/>
      <c r="B854" s="9"/>
      <c r="C854" s="1">
        <f>Tabela2[[#This Row],[Data
Pedido]]-Tabela2[[#This Row],[Data Última Aprovação RC]]</f>
        <v>0</v>
      </c>
      <c r="J854" s="1" t="str">
        <f t="shared" ca="1" si="22"/>
        <v/>
      </c>
      <c r="K854" s="11">
        <f>Tabela2[[#This Row],[SLA
Padrão]]-Tabela2[[#This Row],[SLA Atendimento]]</f>
        <v>0</v>
      </c>
      <c r="L854" s="11"/>
      <c r="O854" s="1" t="s">
        <v>30</v>
      </c>
      <c r="P854" s="2">
        <f>Tabela2[[#This Row],[Proposta
 Inicial]]-Tabela2[[#This Row],[Proposta
 Negociada]]</f>
        <v>0</v>
      </c>
      <c r="Q854" s="4" t="e">
        <f>Tabela2[[#This Row],[Proposta
 Negociada]]/Tabela2[[#This Row],[Proposta
 Inicial]]-1</f>
        <v>#DIV/0!</v>
      </c>
      <c r="S854"/>
    </row>
    <row r="855" spans="1:19" ht="15" customHeight="1">
      <c r="A855" s="9"/>
      <c r="B855" s="9"/>
      <c r="C855" s="1">
        <f>Tabela2[[#This Row],[Data
Pedido]]-Tabela2[[#This Row],[Data Última Aprovação RC]]</f>
        <v>0</v>
      </c>
      <c r="J855" s="1" t="str">
        <f t="shared" ca="1" si="22"/>
        <v/>
      </c>
      <c r="K855" s="11">
        <f>Tabela2[[#This Row],[SLA
Padrão]]-Tabela2[[#This Row],[SLA Atendimento]]</f>
        <v>0</v>
      </c>
      <c r="L855" s="11"/>
      <c r="O855" s="1" t="s">
        <v>30</v>
      </c>
      <c r="P855" s="2">
        <f>Tabela2[[#This Row],[Proposta
 Inicial]]-Tabela2[[#This Row],[Proposta
 Negociada]]</f>
        <v>0</v>
      </c>
      <c r="Q855" s="4" t="e">
        <f>Tabela2[[#This Row],[Proposta
 Negociada]]/Tabela2[[#This Row],[Proposta
 Inicial]]-1</f>
        <v>#DIV/0!</v>
      </c>
      <c r="S855"/>
    </row>
    <row r="856" spans="1:19" ht="15" customHeight="1">
      <c r="A856" s="9"/>
      <c r="B856" s="9"/>
      <c r="C856" s="1">
        <f>Tabela2[[#This Row],[Data
Pedido]]-Tabela2[[#This Row],[Data Última Aprovação RC]]</f>
        <v>0</v>
      </c>
      <c r="J856" s="1" t="str">
        <f t="shared" ca="1" si="22"/>
        <v/>
      </c>
      <c r="K856" s="11">
        <f>Tabela2[[#This Row],[SLA
Padrão]]-Tabela2[[#This Row],[SLA Atendimento]]</f>
        <v>0</v>
      </c>
      <c r="L856" s="11"/>
      <c r="O856" s="1" t="s">
        <v>30</v>
      </c>
      <c r="P856" s="2">
        <f>Tabela2[[#This Row],[Proposta
 Inicial]]-Tabela2[[#This Row],[Proposta
 Negociada]]</f>
        <v>0</v>
      </c>
      <c r="Q856" s="4" t="e">
        <f>Tabela2[[#This Row],[Proposta
 Negociada]]/Tabela2[[#This Row],[Proposta
 Inicial]]-1</f>
        <v>#DIV/0!</v>
      </c>
      <c r="S856"/>
    </row>
    <row r="857" spans="1:19" ht="15" customHeight="1">
      <c r="A857" s="9"/>
      <c r="B857" s="9"/>
      <c r="C857" s="1">
        <f>Tabela2[[#This Row],[Data
Pedido]]-Tabela2[[#This Row],[Data Última Aprovação RC]]</f>
        <v>0</v>
      </c>
      <c r="J857" s="1" t="str">
        <f t="shared" ca="1" si="22"/>
        <v/>
      </c>
      <c r="K857" s="11">
        <f>Tabela2[[#This Row],[SLA
Padrão]]-Tabela2[[#This Row],[SLA Atendimento]]</f>
        <v>0</v>
      </c>
      <c r="L857" s="11"/>
      <c r="O857" s="1" t="s">
        <v>30</v>
      </c>
      <c r="P857" s="2">
        <f>Tabela2[[#This Row],[Proposta
 Inicial]]-Tabela2[[#This Row],[Proposta
 Negociada]]</f>
        <v>0</v>
      </c>
      <c r="Q857" s="4" t="e">
        <f>Tabela2[[#This Row],[Proposta
 Negociada]]/Tabela2[[#This Row],[Proposta
 Inicial]]-1</f>
        <v>#DIV/0!</v>
      </c>
      <c r="S857"/>
    </row>
    <row r="858" spans="1:19" ht="15" customHeight="1">
      <c r="A858" s="9"/>
      <c r="B858" s="9"/>
      <c r="C858" s="1">
        <f>Tabela2[[#This Row],[Data
Pedido]]-Tabela2[[#This Row],[Data Última Aprovação RC]]</f>
        <v>0</v>
      </c>
      <c r="J858" s="1" t="str">
        <f t="shared" ca="1" si="22"/>
        <v/>
      </c>
      <c r="K858" s="11">
        <f>Tabela2[[#This Row],[SLA
Padrão]]-Tabela2[[#This Row],[SLA Atendimento]]</f>
        <v>0</v>
      </c>
      <c r="L858" s="11"/>
      <c r="O858" s="1" t="s">
        <v>30</v>
      </c>
      <c r="P858" s="2">
        <f>Tabela2[[#This Row],[Proposta
 Inicial]]-Tabela2[[#This Row],[Proposta
 Negociada]]</f>
        <v>0</v>
      </c>
      <c r="Q858" s="4" t="e">
        <f>Tabela2[[#This Row],[Proposta
 Negociada]]/Tabela2[[#This Row],[Proposta
 Inicial]]-1</f>
        <v>#DIV/0!</v>
      </c>
      <c r="S858"/>
    </row>
    <row r="859" spans="1:19" ht="15" customHeight="1">
      <c r="A859" s="9"/>
      <c r="B859" s="9"/>
      <c r="C859" s="1">
        <f>Tabela2[[#This Row],[Data
Pedido]]-Tabela2[[#This Row],[Data Última Aprovação RC]]</f>
        <v>0</v>
      </c>
      <c r="J859" s="1" t="str">
        <f t="shared" ca="1" si="22"/>
        <v/>
      </c>
      <c r="K859" s="11">
        <f>Tabela2[[#This Row],[SLA
Padrão]]-Tabela2[[#This Row],[SLA Atendimento]]</f>
        <v>0</v>
      </c>
      <c r="L859" s="11"/>
      <c r="O859" s="1" t="s">
        <v>30</v>
      </c>
      <c r="P859" s="2">
        <f>Tabela2[[#This Row],[Proposta
 Inicial]]-Tabela2[[#This Row],[Proposta
 Negociada]]</f>
        <v>0</v>
      </c>
      <c r="Q859" s="4" t="e">
        <f>Tabela2[[#This Row],[Proposta
 Negociada]]/Tabela2[[#This Row],[Proposta
 Inicial]]-1</f>
        <v>#DIV/0!</v>
      </c>
      <c r="S859"/>
    </row>
    <row r="860" spans="1:19" ht="15" customHeight="1">
      <c r="A860" s="9"/>
      <c r="B860" s="9"/>
      <c r="C860" s="1">
        <f>Tabela2[[#This Row],[Data
Pedido]]-Tabela2[[#This Row],[Data Última Aprovação RC]]</f>
        <v>0</v>
      </c>
      <c r="J860" s="1" t="str">
        <f t="shared" ca="1" si="22"/>
        <v/>
      </c>
      <c r="K860" s="11">
        <f>Tabela2[[#This Row],[SLA
Padrão]]-Tabela2[[#This Row],[SLA Atendimento]]</f>
        <v>0</v>
      </c>
      <c r="L860" s="11"/>
      <c r="O860" s="1" t="s">
        <v>30</v>
      </c>
      <c r="P860" s="2">
        <f>Tabela2[[#This Row],[Proposta
 Inicial]]-Tabela2[[#This Row],[Proposta
 Negociada]]</f>
        <v>0</v>
      </c>
      <c r="Q860" s="4" t="e">
        <f>Tabela2[[#This Row],[Proposta
 Negociada]]/Tabela2[[#This Row],[Proposta
 Inicial]]-1</f>
        <v>#DIV/0!</v>
      </c>
      <c r="S860"/>
    </row>
    <row r="861" spans="1:19" ht="15" customHeight="1">
      <c r="A861" s="9"/>
      <c r="B861" s="9"/>
      <c r="C861" s="1">
        <f>Tabela2[[#This Row],[Data
Pedido]]-Tabela2[[#This Row],[Data Última Aprovação RC]]</f>
        <v>0</v>
      </c>
      <c r="J861" s="1" t="str">
        <f t="shared" ca="1" si="22"/>
        <v/>
      </c>
      <c r="K861" s="11">
        <f>Tabela2[[#This Row],[SLA
Padrão]]-Tabela2[[#This Row],[SLA Atendimento]]</f>
        <v>0</v>
      </c>
      <c r="L861" s="11"/>
      <c r="O861" s="1" t="s">
        <v>30</v>
      </c>
      <c r="P861" s="2">
        <f>Tabela2[[#This Row],[Proposta
 Inicial]]-Tabela2[[#This Row],[Proposta
 Negociada]]</f>
        <v>0</v>
      </c>
      <c r="Q861" s="4" t="e">
        <f>Tabela2[[#This Row],[Proposta
 Negociada]]/Tabela2[[#This Row],[Proposta
 Inicial]]-1</f>
        <v>#DIV/0!</v>
      </c>
      <c r="S861"/>
    </row>
    <row r="862" spans="1:19" ht="15" customHeight="1">
      <c r="A862" s="9"/>
      <c r="B862" s="9"/>
      <c r="C862" s="1">
        <f>Tabela2[[#This Row],[Data
Pedido]]-Tabela2[[#This Row],[Data Última Aprovação RC]]</f>
        <v>0</v>
      </c>
      <c r="J862" s="1" t="str">
        <f t="shared" ca="1" si="22"/>
        <v/>
      </c>
      <c r="K862" s="11">
        <f>Tabela2[[#This Row],[SLA
Padrão]]-Tabela2[[#This Row],[SLA Atendimento]]</f>
        <v>0</v>
      </c>
      <c r="L862" s="11"/>
      <c r="O862" s="1" t="s">
        <v>30</v>
      </c>
      <c r="P862" s="2">
        <f>Tabela2[[#This Row],[Proposta
 Inicial]]-Tabela2[[#This Row],[Proposta
 Negociada]]</f>
        <v>0</v>
      </c>
      <c r="Q862" s="4" t="e">
        <f>Tabela2[[#This Row],[Proposta
 Negociada]]/Tabela2[[#This Row],[Proposta
 Inicial]]-1</f>
        <v>#DIV/0!</v>
      </c>
      <c r="S862"/>
    </row>
    <row r="863" spans="1:19" ht="15" customHeight="1">
      <c r="A863" s="9"/>
      <c r="B863" s="9"/>
      <c r="C863" s="1">
        <f>Tabela2[[#This Row],[Data
Pedido]]-Tabela2[[#This Row],[Data Última Aprovação RC]]</f>
        <v>0</v>
      </c>
      <c r="J863" s="1" t="str">
        <f t="shared" ca="1" si="22"/>
        <v/>
      </c>
      <c r="K863" s="11">
        <f>Tabela2[[#This Row],[SLA
Padrão]]-Tabela2[[#This Row],[SLA Atendimento]]</f>
        <v>0</v>
      </c>
      <c r="L863" s="11"/>
      <c r="O863" s="1" t="s">
        <v>30</v>
      </c>
      <c r="P863" s="2">
        <f>Tabela2[[#This Row],[Proposta
 Inicial]]-Tabela2[[#This Row],[Proposta
 Negociada]]</f>
        <v>0</v>
      </c>
      <c r="Q863" s="4" t="e">
        <f>Tabela2[[#This Row],[Proposta
 Negociada]]/Tabela2[[#This Row],[Proposta
 Inicial]]-1</f>
        <v>#DIV/0!</v>
      </c>
      <c r="S863"/>
    </row>
    <row r="864" spans="1:19" ht="15" customHeight="1">
      <c r="A864" s="9"/>
      <c r="B864" s="9"/>
      <c r="C864" s="1">
        <f>Tabela2[[#This Row],[Data
Pedido]]-Tabela2[[#This Row],[Data Última Aprovação RC]]</f>
        <v>0</v>
      </c>
      <c r="J864" s="1" t="str">
        <f t="shared" ca="1" si="22"/>
        <v/>
      </c>
      <c r="K864" s="11">
        <f>Tabela2[[#This Row],[SLA
Padrão]]-Tabela2[[#This Row],[SLA Atendimento]]</f>
        <v>0</v>
      </c>
      <c r="L864" s="11"/>
      <c r="O864" s="1" t="s">
        <v>30</v>
      </c>
      <c r="P864" s="2">
        <f>Tabela2[[#This Row],[Proposta
 Inicial]]-Tabela2[[#This Row],[Proposta
 Negociada]]</f>
        <v>0</v>
      </c>
      <c r="Q864" s="4" t="e">
        <f>Tabela2[[#This Row],[Proposta
 Negociada]]/Tabela2[[#This Row],[Proposta
 Inicial]]-1</f>
        <v>#DIV/0!</v>
      </c>
      <c r="S864"/>
    </row>
    <row r="865" spans="1:19" ht="15" customHeight="1">
      <c r="A865" s="9"/>
      <c r="B865" s="9"/>
      <c r="C865" s="1">
        <f>Tabela2[[#This Row],[Data
Pedido]]-Tabela2[[#This Row],[Data Última Aprovação RC]]</f>
        <v>0</v>
      </c>
      <c r="J865" s="1" t="str">
        <f t="shared" ca="1" si="22"/>
        <v/>
      </c>
      <c r="K865" s="11">
        <f>Tabela2[[#This Row],[SLA
Padrão]]-Tabela2[[#This Row],[SLA Atendimento]]</f>
        <v>0</v>
      </c>
      <c r="L865" s="11"/>
      <c r="O865" s="1" t="s">
        <v>30</v>
      </c>
      <c r="P865" s="2">
        <f>Tabela2[[#This Row],[Proposta
 Inicial]]-Tabela2[[#This Row],[Proposta
 Negociada]]</f>
        <v>0</v>
      </c>
      <c r="Q865" s="4" t="e">
        <f>Tabela2[[#This Row],[Proposta
 Negociada]]/Tabela2[[#This Row],[Proposta
 Inicial]]-1</f>
        <v>#DIV/0!</v>
      </c>
      <c r="S865"/>
    </row>
    <row r="866" spans="1:19" ht="15" customHeight="1">
      <c r="A866" s="9"/>
      <c r="B866" s="9"/>
      <c r="C866" s="1">
        <f>Tabela2[[#This Row],[Data
Pedido]]-Tabela2[[#This Row],[Data Última Aprovação RC]]</f>
        <v>0</v>
      </c>
      <c r="J866" s="1" t="str">
        <f t="shared" ca="1" si="22"/>
        <v/>
      </c>
      <c r="K866" s="11">
        <f>Tabela2[[#This Row],[SLA
Padrão]]-Tabela2[[#This Row],[SLA Atendimento]]</f>
        <v>0</v>
      </c>
      <c r="L866" s="11"/>
      <c r="O866" s="1" t="s">
        <v>30</v>
      </c>
      <c r="P866" s="2">
        <f>Tabela2[[#This Row],[Proposta
 Inicial]]-Tabela2[[#This Row],[Proposta
 Negociada]]</f>
        <v>0</v>
      </c>
      <c r="Q866" s="4" t="e">
        <f>Tabela2[[#This Row],[Proposta
 Negociada]]/Tabela2[[#This Row],[Proposta
 Inicial]]-1</f>
        <v>#DIV/0!</v>
      </c>
      <c r="S866"/>
    </row>
    <row r="867" spans="1:19" ht="15" customHeight="1">
      <c r="A867" s="9"/>
      <c r="B867" s="9"/>
      <c r="C867" s="1">
        <f>Tabela2[[#This Row],[Data
Pedido]]-Tabela2[[#This Row],[Data Última Aprovação RC]]</f>
        <v>0</v>
      </c>
      <c r="J867" s="1" t="str">
        <f t="shared" ca="1" si="22"/>
        <v/>
      </c>
      <c r="K867" s="11">
        <f>Tabela2[[#This Row],[SLA
Padrão]]-Tabela2[[#This Row],[SLA Atendimento]]</f>
        <v>0</v>
      </c>
      <c r="L867" s="11"/>
      <c r="O867" s="1" t="s">
        <v>30</v>
      </c>
      <c r="P867" s="2">
        <f>Tabela2[[#This Row],[Proposta
 Inicial]]-Tabela2[[#This Row],[Proposta
 Negociada]]</f>
        <v>0</v>
      </c>
      <c r="Q867" s="4" t="e">
        <f>Tabela2[[#This Row],[Proposta
 Negociada]]/Tabela2[[#This Row],[Proposta
 Inicial]]-1</f>
        <v>#DIV/0!</v>
      </c>
      <c r="S867"/>
    </row>
    <row r="868" spans="1:19" ht="15" customHeight="1">
      <c r="A868" s="9"/>
      <c r="B868" s="9"/>
      <c r="C868" s="1">
        <f>Tabela2[[#This Row],[Data
Pedido]]-Tabela2[[#This Row],[Data Última Aprovação RC]]</f>
        <v>0</v>
      </c>
      <c r="J868" s="1" t="str">
        <f t="shared" ca="1" si="22"/>
        <v/>
      </c>
      <c r="K868" s="11">
        <f>Tabela2[[#This Row],[SLA
Padrão]]-Tabela2[[#This Row],[SLA Atendimento]]</f>
        <v>0</v>
      </c>
      <c r="L868" s="11"/>
      <c r="O868" s="1" t="s">
        <v>30</v>
      </c>
      <c r="P868" s="2">
        <f>Tabela2[[#This Row],[Proposta
 Inicial]]-Tabela2[[#This Row],[Proposta
 Negociada]]</f>
        <v>0</v>
      </c>
      <c r="Q868" s="4" t="e">
        <f>Tabela2[[#This Row],[Proposta
 Negociada]]/Tabela2[[#This Row],[Proposta
 Inicial]]-1</f>
        <v>#DIV/0!</v>
      </c>
      <c r="S868"/>
    </row>
    <row r="869" spans="1:19" ht="15" customHeight="1">
      <c r="A869" s="9"/>
      <c r="B869" s="9"/>
      <c r="C869" s="1">
        <f>Tabela2[[#This Row],[Data
Pedido]]-Tabela2[[#This Row],[Data Última Aprovação RC]]</f>
        <v>0</v>
      </c>
      <c r="J869" s="1" t="str">
        <f t="shared" ca="1" si="22"/>
        <v/>
      </c>
      <c r="K869" s="11">
        <f>Tabela2[[#This Row],[SLA
Padrão]]-Tabela2[[#This Row],[SLA Atendimento]]</f>
        <v>0</v>
      </c>
      <c r="L869" s="11"/>
      <c r="O869" s="1" t="s">
        <v>30</v>
      </c>
      <c r="P869" s="2">
        <f>Tabela2[[#This Row],[Proposta
 Inicial]]-Tabela2[[#This Row],[Proposta
 Negociada]]</f>
        <v>0</v>
      </c>
      <c r="Q869" s="4" t="e">
        <f>Tabela2[[#This Row],[Proposta
 Negociada]]/Tabela2[[#This Row],[Proposta
 Inicial]]-1</f>
        <v>#DIV/0!</v>
      </c>
      <c r="S869"/>
    </row>
    <row r="870" spans="1:19" ht="15" customHeight="1">
      <c r="A870" s="9"/>
      <c r="B870" s="9"/>
      <c r="C870" s="1">
        <f>Tabela2[[#This Row],[Data
Pedido]]-Tabela2[[#This Row],[Data Última Aprovação RC]]</f>
        <v>0</v>
      </c>
      <c r="J870" s="1" t="str">
        <f t="shared" ca="1" si="22"/>
        <v/>
      </c>
      <c r="K870" s="11">
        <f>Tabela2[[#This Row],[SLA
Padrão]]-Tabela2[[#This Row],[SLA Atendimento]]</f>
        <v>0</v>
      </c>
      <c r="L870" s="11"/>
      <c r="O870" s="1" t="s">
        <v>30</v>
      </c>
      <c r="P870" s="2">
        <f>Tabela2[[#This Row],[Proposta
 Inicial]]-Tabela2[[#This Row],[Proposta
 Negociada]]</f>
        <v>0</v>
      </c>
      <c r="Q870" s="4" t="e">
        <f>Tabela2[[#This Row],[Proposta
 Negociada]]/Tabela2[[#This Row],[Proposta
 Inicial]]-1</f>
        <v>#DIV/0!</v>
      </c>
      <c r="S870"/>
    </row>
    <row r="871" spans="1:19" ht="15" customHeight="1">
      <c r="A871" s="9"/>
      <c r="B871" s="9"/>
      <c r="C871" s="1">
        <f>Tabela2[[#This Row],[Data
Pedido]]-Tabela2[[#This Row],[Data Última Aprovação RC]]</f>
        <v>0</v>
      </c>
      <c r="J871" s="1" t="str">
        <f t="shared" ca="1" si="22"/>
        <v/>
      </c>
      <c r="K871" s="11">
        <f>Tabela2[[#This Row],[SLA
Padrão]]-Tabela2[[#This Row],[SLA Atendimento]]</f>
        <v>0</v>
      </c>
      <c r="L871" s="11"/>
      <c r="O871" s="1" t="s">
        <v>30</v>
      </c>
      <c r="P871" s="2">
        <f>Tabela2[[#This Row],[Proposta
 Inicial]]-Tabela2[[#This Row],[Proposta
 Negociada]]</f>
        <v>0</v>
      </c>
      <c r="Q871" s="4" t="e">
        <f>Tabela2[[#This Row],[Proposta
 Negociada]]/Tabela2[[#This Row],[Proposta
 Inicial]]-1</f>
        <v>#DIV/0!</v>
      </c>
      <c r="S871"/>
    </row>
    <row r="872" spans="1:19" ht="15" customHeight="1">
      <c r="A872" s="9"/>
      <c r="B872" s="9"/>
      <c r="C872" s="1">
        <f>Tabela2[[#This Row],[Data
Pedido]]-Tabela2[[#This Row],[Data Última Aprovação RC]]</f>
        <v>0</v>
      </c>
      <c r="J872" s="1" t="str">
        <f t="shared" ca="1" si="22"/>
        <v/>
      </c>
      <c r="K872" s="11">
        <f>Tabela2[[#This Row],[SLA
Padrão]]-Tabela2[[#This Row],[SLA Atendimento]]</f>
        <v>0</v>
      </c>
      <c r="L872" s="11"/>
      <c r="O872" s="1" t="s">
        <v>30</v>
      </c>
      <c r="P872" s="2">
        <f>Tabela2[[#This Row],[Proposta
 Inicial]]-Tabela2[[#This Row],[Proposta
 Negociada]]</f>
        <v>0</v>
      </c>
      <c r="Q872" s="4" t="e">
        <f>Tabela2[[#This Row],[Proposta
 Negociada]]/Tabela2[[#This Row],[Proposta
 Inicial]]-1</f>
        <v>#DIV/0!</v>
      </c>
      <c r="S872"/>
    </row>
    <row r="873" spans="1:19" ht="15" customHeight="1">
      <c r="A873" s="9"/>
      <c r="B873" s="9"/>
      <c r="C873" s="1">
        <f>Tabela2[[#This Row],[Data
Pedido]]-Tabela2[[#This Row],[Data Última Aprovação RC]]</f>
        <v>0</v>
      </c>
      <c r="J873" s="1" t="str">
        <f t="shared" ca="1" si="22"/>
        <v/>
      </c>
      <c r="K873" s="11">
        <f>Tabela2[[#This Row],[SLA
Padrão]]-Tabela2[[#This Row],[SLA Atendimento]]</f>
        <v>0</v>
      </c>
      <c r="L873" s="11"/>
      <c r="O873" s="1" t="s">
        <v>30</v>
      </c>
      <c r="P873" s="2">
        <f>Tabela2[[#This Row],[Proposta
 Inicial]]-Tabela2[[#This Row],[Proposta
 Negociada]]</f>
        <v>0</v>
      </c>
      <c r="Q873" s="4" t="e">
        <f>Tabela2[[#This Row],[Proposta
 Negociada]]/Tabela2[[#This Row],[Proposta
 Inicial]]-1</f>
        <v>#DIV/0!</v>
      </c>
      <c r="S873"/>
    </row>
    <row r="874" spans="1:19" ht="15" customHeight="1">
      <c r="A874" s="9"/>
      <c r="B874" s="9"/>
      <c r="C874" s="1">
        <f>Tabela2[[#This Row],[Data
Pedido]]-Tabela2[[#This Row],[Data Última Aprovação RC]]</f>
        <v>0</v>
      </c>
      <c r="J874" s="1" t="str">
        <f t="shared" ca="1" si="22"/>
        <v/>
      </c>
      <c r="K874" s="11">
        <f>Tabela2[[#This Row],[SLA
Padrão]]-Tabela2[[#This Row],[SLA Atendimento]]</f>
        <v>0</v>
      </c>
      <c r="L874" s="11"/>
      <c r="O874" s="1" t="s">
        <v>30</v>
      </c>
      <c r="P874" s="2">
        <f>Tabela2[[#This Row],[Proposta
 Inicial]]-Tabela2[[#This Row],[Proposta
 Negociada]]</f>
        <v>0</v>
      </c>
      <c r="Q874" s="4" t="e">
        <f>Tabela2[[#This Row],[Proposta
 Negociada]]/Tabela2[[#This Row],[Proposta
 Inicial]]-1</f>
        <v>#DIV/0!</v>
      </c>
      <c r="S874"/>
    </row>
    <row r="875" spans="1:19" ht="15" customHeight="1">
      <c r="A875" s="9"/>
      <c r="B875" s="9"/>
      <c r="C875" s="1">
        <f>Tabela2[[#This Row],[Data
Pedido]]-Tabela2[[#This Row],[Data Última Aprovação RC]]</f>
        <v>0</v>
      </c>
      <c r="J875" s="1" t="str">
        <f t="shared" ref="J875:J938" ca="1" si="23">IF(A875="","",IF(B875="",IF(TODAY()-A875&gt;I875,"ATRASADA","EM ANDAMENTO"),IF(B875-A875&gt;I875,"ATRASADA","NO PRAZO")))</f>
        <v/>
      </c>
      <c r="K875" s="11">
        <f>Tabela2[[#This Row],[SLA
Padrão]]-Tabela2[[#This Row],[SLA Atendimento]]</f>
        <v>0</v>
      </c>
      <c r="L875" s="11"/>
      <c r="O875" s="1" t="s">
        <v>30</v>
      </c>
      <c r="P875" s="2">
        <f>Tabela2[[#This Row],[Proposta
 Inicial]]-Tabela2[[#This Row],[Proposta
 Negociada]]</f>
        <v>0</v>
      </c>
      <c r="Q875" s="4" t="e">
        <f>Tabela2[[#This Row],[Proposta
 Negociada]]/Tabela2[[#This Row],[Proposta
 Inicial]]-1</f>
        <v>#DIV/0!</v>
      </c>
      <c r="S875"/>
    </row>
    <row r="876" spans="1:19" ht="15" customHeight="1">
      <c r="A876" s="9"/>
      <c r="B876" s="9"/>
      <c r="C876" s="1">
        <f>Tabela2[[#This Row],[Data
Pedido]]-Tabela2[[#This Row],[Data Última Aprovação RC]]</f>
        <v>0</v>
      </c>
      <c r="J876" s="1" t="str">
        <f t="shared" ca="1" si="23"/>
        <v/>
      </c>
      <c r="K876" s="11">
        <f>Tabela2[[#This Row],[SLA
Padrão]]-Tabela2[[#This Row],[SLA Atendimento]]</f>
        <v>0</v>
      </c>
      <c r="L876" s="11"/>
      <c r="O876" s="1" t="s">
        <v>30</v>
      </c>
      <c r="P876" s="2">
        <f>Tabela2[[#This Row],[Proposta
 Inicial]]-Tabela2[[#This Row],[Proposta
 Negociada]]</f>
        <v>0</v>
      </c>
      <c r="Q876" s="4" t="e">
        <f>Tabela2[[#This Row],[Proposta
 Negociada]]/Tabela2[[#This Row],[Proposta
 Inicial]]-1</f>
        <v>#DIV/0!</v>
      </c>
      <c r="S876"/>
    </row>
    <row r="877" spans="1:19" ht="15" customHeight="1">
      <c r="A877" s="9"/>
      <c r="B877" s="9"/>
      <c r="C877" s="1">
        <f>Tabela2[[#This Row],[Data
Pedido]]-Tabela2[[#This Row],[Data Última Aprovação RC]]</f>
        <v>0</v>
      </c>
      <c r="J877" s="1" t="str">
        <f t="shared" ca="1" si="23"/>
        <v/>
      </c>
      <c r="K877" s="11">
        <f>Tabela2[[#This Row],[SLA
Padrão]]-Tabela2[[#This Row],[SLA Atendimento]]</f>
        <v>0</v>
      </c>
      <c r="L877" s="11"/>
      <c r="O877" s="1" t="s">
        <v>30</v>
      </c>
      <c r="P877" s="2">
        <f>Tabela2[[#This Row],[Proposta
 Inicial]]-Tabela2[[#This Row],[Proposta
 Negociada]]</f>
        <v>0</v>
      </c>
      <c r="Q877" s="4" t="e">
        <f>Tabela2[[#This Row],[Proposta
 Negociada]]/Tabela2[[#This Row],[Proposta
 Inicial]]-1</f>
        <v>#DIV/0!</v>
      </c>
      <c r="S877"/>
    </row>
    <row r="878" spans="1:19" ht="15" customHeight="1">
      <c r="A878" s="9"/>
      <c r="B878" s="9"/>
      <c r="C878" s="1">
        <f>Tabela2[[#This Row],[Data
Pedido]]-Tabela2[[#This Row],[Data Última Aprovação RC]]</f>
        <v>0</v>
      </c>
      <c r="J878" s="1" t="str">
        <f t="shared" ca="1" si="23"/>
        <v/>
      </c>
      <c r="K878" s="11">
        <f>Tabela2[[#This Row],[SLA
Padrão]]-Tabela2[[#This Row],[SLA Atendimento]]</f>
        <v>0</v>
      </c>
      <c r="L878" s="11"/>
      <c r="O878" s="1" t="s">
        <v>30</v>
      </c>
      <c r="P878" s="2">
        <f>Tabela2[[#This Row],[Proposta
 Inicial]]-Tabela2[[#This Row],[Proposta
 Negociada]]</f>
        <v>0</v>
      </c>
      <c r="Q878" s="4" t="e">
        <f>Tabela2[[#This Row],[Proposta
 Negociada]]/Tabela2[[#This Row],[Proposta
 Inicial]]-1</f>
        <v>#DIV/0!</v>
      </c>
      <c r="S878"/>
    </row>
    <row r="879" spans="1:19" ht="15" customHeight="1">
      <c r="A879" s="9"/>
      <c r="B879" s="9"/>
      <c r="C879" s="1">
        <f>Tabela2[[#This Row],[Data
Pedido]]-Tabela2[[#This Row],[Data Última Aprovação RC]]</f>
        <v>0</v>
      </c>
      <c r="J879" s="1" t="str">
        <f t="shared" ca="1" si="23"/>
        <v/>
      </c>
      <c r="K879" s="11">
        <f>Tabela2[[#This Row],[SLA
Padrão]]-Tabela2[[#This Row],[SLA Atendimento]]</f>
        <v>0</v>
      </c>
      <c r="L879" s="11"/>
      <c r="O879" s="1" t="s">
        <v>30</v>
      </c>
      <c r="P879" s="2">
        <f>Tabela2[[#This Row],[Proposta
 Inicial]]-Tabela2[[#This Row],[Proposta
 Negociada]]</f>
        <v>0</v>
      </c>
      <c r="Q879" s="4" t="e">
        <f>Tabela2[[#This Row],[Proposta
 Negociada]]/Tabela2[[#This Row],[Proposta
 Inicial]]-1</f>
        <v>#DIV/0!</v>
      </c>
      <c r="S879"/>
    </row>
    <row r="880" spans="1:19" ht="15" customHeight="1">
      <c r="A880" s="9"/>
      <c r="B880" s="9"/>
      <c r="C880" s="1">
        <f>Tabela2[[#This Row],[Data
Pedido]]-Tabela2[[#This Row],[Data Última Aprovação RC]]</f>
        <v>0</v>
      </c>
      <c r="J880" s="1" t="str">
        <f t="shared" ca="1" si="23"/>
        <v/>
      </c>
      <c r="K880" s="11">
        <f>Tabela2[[#This Row],[SLA
Padrão]]-Tabela2[[#This Row],[SLA Atendimento]]</f>
        <v>0</v>
      </c>
      <c r="L880" s="11"/>
      <c r="O880" s="1" t="s">
        <v>30</v>
      </c>
      <c r="P880" s="2">
        <f>Tabela2[[#This Row],[Proposta
 Inicial]]-Tabela2[[#This Row],[Proposta
 Negociada]]</f>
        <v>0</v>
      </c>
      <c r="Q880" s="4" t="e">
        <f>Tabela2[[#This Row],[Proposta
 Negociada]]/Tabela2[[#This Row],[Proposta
 Inicial]]-1</f>
        <v>#DIV/0!</v>
      </c>
      <c r="S880"/>
    </row>
    <row r="881" spans="1:19" ht="15" customHeight="1">
      <c r="A881" s="9"/>
      <c r="B881" s="9"/>
      <c r="C881" s="1">
        <f>Tabela2[[#This Row],[Data
Pedido]]-Tabela2[[#This Row],[Data Última Aprovação RC]]</f>
        <v>0</v>
      </c>
      <c r="J881" s="1" t="str">
        <f t="shared" ca="1" si="23"/>
        <v/>
      </c>
      <c r="K881" s="11">
        <f>Tabela2[[#This Row],[SLA
Padrão]]-Tabela2[[#This Row],[SLA Atendimento]]</f>
        <v>0</v>
      </c>
      <c r="L881" s="11"/>
      <c r="O881" s="1" t="s">
        <v>30</v>
      </c>
      <c r="P881" s="2">
        <f>Tabela2[[#This Row],[Proposta
 Inicial]]-Tabela2[[#This Row],[Proposta
 Negociada]]</f>
        <v>0</v>
      </c>
      <c r="Q881" s="4" t="e">
        <f>Tabela2[[#This Row],[Proposta
 Negociada]]/Tabela2[[#This Row],[Proposta
 Inicial]]-1</f>
        <v>#DIV/0!</v>
      </c>
      <c r="S881"/>
    </row>
    <row r="882" spans="1:19" ht="15" customHeight="1">
      <c r="A882" s="9"/>
      <c r="B882" s="9"/>
      <c r="C882" s="1">
        <f>Tabela2[[#This Row],[Data
Pedido]]-Tabela2[[#This Row],[Data Última Aprovação RC]]</f>
        <v>0</v>
      </c>
      <c r="J882" s="1" t="str">
        <f t="shared" ca="1" si="23"/>
        <v/>
      </c>
      <c r="K882" s="11">
        <f>Tabela2[[#This Row],[SLA
Padrão]]-Tabela2[[#This Row],[SLA Atendimento]]</f>
        <v>0</v>
      </c>
      <c r="L882" s="11"/>
      <c r="O882" s="1" t="s">
        <v>30</v>
      </c>
      <c r="P882" s="2">
        <f>Tabela2[[#This Row],[Proposta
 Inicial]]-Tabela2[[#This Row],[Proposta
 Negociada]]</f>
        <v>0</v>
      </c>
      <c r="Q882" s="4" t="e">
        <f>Tabela2[[#This Row],[Proposta
 Negociada]]/Tabela2[[#This Row],[Proposta
 Inicial]]-1</f>
        <v>#DIV/0!</v>
      </c>
      <c r="S882"/>
    </row>
    <row r="883" spans="1:19" ht="15" customHeight="1">
      <c r="A883" s="9"/>
      <c r="B883" s="9"/>
      <c r="C883" s="1">
        <f>Tabela2[[#This Row],[Data
Pedido]]-Tabela2[[#This Row],[Data Última Aprovação RC]]</f>
        <v>0</v>
      </c>
      <c r="J883" s="1" t="str">
        <f t="shared" ca="1" si="23"/>
        <v/>
      </c>
      <c r="K883" s="11">
        <f>Tabela2[[#This Row],[SLA
Padrão]]-Tabela2[[#This Row],[SLA Atendimento]]</f>
        <v>0</v>
      </c>
      <c r="L883" s="11"/>
      <c r="O883" s="1" t="s">
        <v>30</v>
      </c>
      <c r="P883" s="2">
        <f>Tabela2[[#This Row],[Proposta
 Inicial]]-Tabela2[[#This Row],[Proposta
 Negociada]]</f>
        <v>0</v>
      </c>
      <c r="Q883" s="4" t="e">
        <f>Tabela2[[#This Row],[Proposta
 Negociada]]/Tabela2[[#This Row],[Proposta
 Inicial]]-1</f>
        <v>#DIV/0!</v>
      </c>
      <c r="S883"/>
    </row>
    <row r="884" spans="1:19" ht="15" customHeight="1">
      <c r="A884" s="9"/>
      <c r="B884" s="9"/>
      <c r="C884" s="1">
        <f>Tabela2[[#This Row],[Data
Pedido]]-Tabela2[[#This Row],[Data Última Aprovação RC]]</f>
        <v>0</v>
      </c>
      <c r="J884" s="1" t="str">
        <f t="shared" ca="1" si="23"/>
        <v/>
      </c>
      <c r="K884" s="11">
        <f>Tabela2[[#This Row],[SLA
Padrão]]-Tabela2[[#This Row],[SLA Atendimento]]</f>
        <v>0</v>
      </c>
      <c r="L884" s="11"/>
      <c r="O884" s="1" t="s">
        <v>30</v>
      </c>
      <c r="P884" s="2">
        <f>Tabela2[[#This Row],[Proposta
 Inicial]]-Tabela2[[#This Row],[Proposta
 Negociada]]</f>
        <v>0</v>
      </c>
      <c r="Q884" s="4" t="e">
        <f>Tabela2[[#This Row],[Proposta
 Negociada]]/Tabela2[[#This Row],[Proposta
 Inicial]]-1</f>
        <v>#DIV/0!</v>
      </c>
      <c r="S884"/>
    </row>
    <row r="885" spans="1:19" ht="15" customHeight="1">
      <c r="A885" s="9"/>
      <c r="B885" s="9"/>
      <c r="C885" s="1">
        <f>Tabela2[[#This Row],[Data
Pedido]]-Tabela2[[#This Row],[Data Última Aprovação RC]]</f>
        <v>0</v>
      </c>
      <c r="J885" s="1" t="str">
        <f t="shared" ca="1" si="23"/>
        <v/>
      </c>
      <c r="K885" s="11">
        <f>Tabela2[[#This Row],[SLA
Padrão]]-Tabela2[[#This Row],[SLA Atendimento]]</f>
        <v>0</v>
      </c>
      <c r="L885" s="11"/>
      <c r="O885" s="1" t="s">
        <v>30</v>
      </c>
      <c r="P885" s="2">
        <f>Tabela2[[#This Row],[Proposta
 Inicial]]-Tabela2[[#This Row],[Proposta
 Negociada]]</f>
        <v>0</v>
      </c>
      <c r="Q885" s="4" t="e">
        <f>Tabela2[[#This Row],[Proposta
 Negociada]]/Tabela2[[#This Row],[Proposta
 Inicial]]-1</f>
        <v>#DIV/0!</v>
      </c>
      <c r="S885"/>
    </row>
    <row r="886" spans="1:19" ht="15" customHeight="1">
      <c r="A886" s="9"/>
      <c r="B886" s="9"/>
      <c r="C886" s="1">
        <f>Tabela2[[#This Row],[Data
Pedido]]-Tabela2[[#This Row],[Data Última Aprovação RC]]</f>
        <v>0</v>
      </c>
      <c r="J886" s="1" t="str">
        <f t="shared" ca="1" si="23"/>
        <v/>
      </c>
      <c r="K886" s="11">
        <f>Tabela2[[#This Row],[SLA
Padrão]]-Tabela2[[#This Row],[SLA Atendimento]]</f>
        <v>0</v>
      </c>
      <c r="L886" s="11"/>
      <c r="O886" s="1" t="s">
        <v>30</v>
      </c>
      <c r="P886" s="2">
        <f>Tabela2[[#This Row],[Proposta
 Inicial]]-Tabela2[[#This Row],[Proposta
 Negociada]]</f>
        <v>0</v>
      </c>
      <c r="Q886" s="4" t="e">
        <f>Tabela2[[#This Row],[Proposta
 Negociada]]/Tabela2[[#This Row],[Proposta
 Inicial]]-1</f>
        <v>#DIV/0!</v>
      </c>
      <c r="S886"/>
    </row>
    <row r="887" spans="1:19" ht="15" customHeight="1">
      <c r="A887" s="9"/>
      <c r="B887" s="9"/>
      <c r="C887" s="1">
        <f>Tabela2[[#This Row],[Data
Pedido]]-Tabela2[[#This Row],[Data Última Aprovação RC]]</f>
        <v>0</v>
      </c>
      <c r="J887" s="1" t="str">
        <f t="shared" ca="1" si="23"/>
        <v/>
      </c>
      <c r="K887" s="11">
        <f>Tabela2[[#This Row],[SLA
Padrão]]-Tabela2[[#This Row],[SLA Atendimento]]</f>
        <v>0</v>
      </c>
      <c r="L887" s="11"/>
      <c r="O887" s="1" t="s">
        <v>30</v>
      </c>
      <c r="P887" s="2">
        <f>Tabela2[[#This Row],[Proposta
 Inicial]]-Tabela2[[#This Row],[Proposta
 Negociada]]</f>
        <v>0</v>
      </c>
      <c r="Q887" s="4" t="e">
        <f>Tabela2[[#This Row],[Proposta
 Negociada]]/Tabela2[[#This Row],[Proposta
 Inicial]]-1</f>
        <v>#DIV/0!</v>
      </c>
      <c r="S887"/>
    </row>
    <row r="888" spans="1:19" ht="15" customHeight="1">
      <c r="A888" s="9"/>
      <c r="B888" s="9"/>
      <c r="C888" s="1">
        <f>Tabela2[[#This Row],[Data
Pedido]]-Tabela2[[#This Row],[Data Última Aprovação RC]]</f>
        <v>0</v>
      </c>
      <c r="J888" s="1" t="str">
        <f t="shared" ca="1" si="23"/>
        <v/>
      </c>
      <c r="K888" s="11">
        <f>Tabela2[[#This Row],[SLA
Padrão]]-Tabela2[[#This Row],[SLA Atendimento]]</f>
        <v>0</v>
      </c>
      <c r="L888" s="11"/>
      <c r="O888" s="1" t="s">
        <v>30</v>
      </c>
      <c r="P888" s="2">
        <f>Tabela2[[#This Row],[Proposta
 Inicial]]-Tabela2[[#This Row],[Proposta
 Negociada]]</f>
        <v>0</v>
      </c>
      <c r="Q888" s="4" t="e">
        <f>Tabela2[[#This Row],[Proposta
 Negociada]]/Tabela2[[#This Row],[Proposta
 Inicial]]-1</f>
        <v>#DIV/0!</v>
      </c>
      <c r="S888"/>
    </row>
    <row r="889" spans="1:19" ht="15" customHeight="1">
      <c r="A889" s="9"/>
      <c r="B889" s="9"/>
      <c r="C889" s="1">
        <f>Tabela2[[#This Row],[Data
Pedido]]-Tabela2[[#This Row],[Data Última Aprovação RC]]</f>
        <v>0</v>
      </c>
      <c r="J889" s="1" t="str">
        <f t="shared" ca="1" si="23"/>
        <v/>
      </c>
      <c r="K889" s="11">
        <f>Tabela2[[#This Row],[SLA
Padrão]]-Tabela2[[#This Row],[SLA Atendimento]]</f>
        <v>0</v>
      </c>
      <c r="L889" s="11"/>
      <c r="O889" s="1" t="s">
        <v>30</v>
      </c>
      <c r="P889" s="2">
        <f>Tabela2[[#This Row],[Proposta
 Inicial]]-Tabela2[[#This Row],[Proposta
 Negociada]]</f>
        <v>0</v>
      </c>
      <c r="Q889" s="4" t="e">
        <f>Tabela2[[#This Row],[Proposta
 Negociada]]/Tabela2[[#This Row],[Proposta
 Inicial]]-1</f>
        <v>#DIV/0!</v>
      </c>
      <c r="S889"/>
    </row>
    <row r="890" spans="1:19" ht="15" customHeight="1">
      <c r="A890" s="9"/>
      <c r="B890" s="9"/>
      <c r="C890" s="1">
        <f>Tabela2[[#This Row],[Data
Pedido]]-Tabela2[[#This Row],[Data Última Aprovação RC]]</f>
        <v>0</v>
      </c>
      <c r="J890" s="1" t="str">
        <f t="shared" ca="1" si="23"/>
        <v/>
      </c>
      <c r="K890" s="11">
        <f>Tabela2[[#This Row],[SLA
Padrão]]-Tabela2[[#This Row],[SLA Atendimento]]</f>
        <v>0</v>
      </c>
      <c r="L890" s="11"/>
      <c r="O890" s="1" t="s">
        <v>30</v>
      </c>
      <c r="P890" s="2">
        <f>Tabela2[[#This Row],[Proposta
 Inicial]]-Tabela2[[#This Row],[Proposta
 Negociada]]</f>
        <v>0</v>
      </c>
      <c r="Q890" s="4" t="e">
        <f>Tabela2[[#This Row],[Proposta
 Negociada]]/Tabela2[[#This Row],[Proposta
 Inicial]]-1</f>
        <v>#DIV/0!</v>
      </c>
      <c r="S890"/>
    </row>
    <row r="891" spans="1:19" ht="15" customHeight="1">
      <c r="A891" s="9"/>
      <c r="B891" s="9"/>
      <c r="C891" s="1">
        <f>Tabela2[[#This Row],[Data
Pedido]]-Tabela2[[#This Row],[Data Última Aprovação RC]]</f>
        <v>0</v>
      </c>
      <c r="J891" s="1" t="str">
        <f t="shared" ca="1" si="23"/>
        <v/>
      </c>
      <c r="K891" s="11">
        <f>Tabela2[[#This Row],[SLA
Padrão]]-Tabela2[[#This Row],[SLA Atendimento]]</f>
        <v>0</v>
      </c>
      <c r="L891" s="11"/>
      <c r="O891" s="1" t="s">
        <v>30</v>
      </c>
      <c r="P891" s="2">
        <f>Tabela2[[#This Row],[Proposta
 Inicial]]-Tabela2[[#This Row],[Proposta
 Negociada]]</f>
        <v>0</v>
      </c>
      <c r="Q891" s="4" t="e">
        <f>Tabela2[[#This Row],[Proposta
 Negociada]]/Tabela2[[#This Row],[Proposta
 Inicial]]-1</f>
        <v>#DIV/0!</v>
      </c>
      <c r="S891"/>
    </row>
    <row r="892" spans="1:19" ht="15" customHeight="1">
      <c r="A892" s="9"/>
      <c r="B892" s="9"/>
      <c r="C892" s="1">
        <f>Tabela2[[#This Row],[Data
Pedido]]-Tabela2[[#This Row],[Data Última Aprovação RC]]</f>
        <v>0</v>
      </c>
      <c r="J892" s="1" t="str">
        <f t="shared" ca="1" si="23"/>
        <v/>
      </c>
      <c r="K892" s="11">
        <f>Tabela2[[#This Row],[SLA
Padrão]]-Tabela2[[#This Row],[SLA Atendimento]]</f>
        <v>0</v>
      </c>
      <c r="L892" s="11"/>
      <c r="O892" s="1" t="s">
        <v>30</v>
      </c>
      <c r="P892" s="2">
        <f>Tabela2[[#This Row],[Proposta
 Inicial]]-Tabela2[[#This Row],[Proposta
 Negociada]]</f>
        <v>0</v>
      </c>
      <c r="Q892" s="4" t="e">
        <f>Tabela2[[#This Row],[Proposta
 Negociada]]/Tabela2[[#This Row],[Proposta
 Inicial]]-1</f>
        <v>#DIV/0!</v>
      </c>
      <c r="S892"/>
    </row>
    <row r="893" spans="1:19" ht="15" customHeight="1">
      <c r="A893" s="9"/>
      <c r="B893" s="9"/>
      <c r="C893" s="1">
        <f>Tabela2[[#This Row],[Data
Pedido]]-Tabela2[[#This Row],[Data Última Aprovação RC]]</f>
        <v>0</v>
      </c>
      <c r="J893" s="1" t="str">
        <f t="shared" ca="1" si="23"/>
        <v/>
      </c>
      <c r="K893" s="11">
        <f>Tabela2[[#This Row],[SLA
Padrão]]-Tabela2[[#This Row],[SLA Atendimento]]</f>
        <v>0</v>
      </c>
      <c r="L893" s="11"/>
      <c r="O893" s="1" t="s">
        <v>30</v>
      </c>
      <c r="P893" s="2">
        <f>Tabela2[[#This Row],[Proposta
 Inicial]]-Tabela2[[#This Row],[Proposta
 Negociada]]</f>
        <v>0</v>
      </c>
      <c r="Q893" s="4" t="e">
        <f>Tabela2[[#This Row],[Proposta
 Negociada]]/Tabela2[[#This Row],[Proposta
 Inicial]]-1</f>
        <v>#DIV/0!</v>
      </c>
      <c r="S893"/>
    </row>
    <row r="894" spans="1:19" ht="15" customHeight="1">
      <c r="A894" s="9"/>
      <c r="B894" s="9"/>
      <c r="C894" s="1">
        <f>Tabela2[[#This Row],[Data
Pedido]]-Tabela2[[#This Row],[Data Última Aprovação RC]]</f>
        <v>0</v>
      </c>
      <c r="J894" s="1" t="str">
        <f t="shared" ca="1" si="23"/>
        <v/>
      </c>
      <c r="K894" s="11">
        <f>Tabela2[[#This Row],[SLA
Padrão]]-Tabela2[[#This Row],[SLA Atendimento]]</f>
        <v>0</v>
      </c>
      <c r="L894" s="11"/>
      <c r="O894" s="1" t="s">
        <v>30</v>
      </c>
      <c r="P894" s="2">
        <f>Tabela2[[#This Row],[Proposta
 Inicial]]-Tabela2[[#This Row],[Proposta
 Negociada]]</f>
        <v>0</v>
      </c>
      <c r="Q894" s="4" t="e">
        <f>Tabela2[[#This Row],[Proposta
 Negociada]]/Tabela2[[#This Row],[Proposta
 Inicial]]-1</f>
        <v>#DIV/0!</v>
      </c>
      <c r="S894"/>
    </row>
    <row r="895" spans="1:19" ht="15" customHeight="1">
      <c r="A895" s="9"/>
      <c r="B895" s="9"/>
      <c r="C895" s="1">
        <f>Tabela2[[#This Row],[Data
Pedido]]-Tabela2[[#This Row],[Data Última Aprovação RC]]</f>
        <v>0</v>
      </c>
      <c r="J895" s="1" t="str">
        <f t="shared" ca="1" si="23"/>
        <v/>
      </c>
      <c r="K895" s="11">
        <f>Tabela2[[#This Row],[SLA
Padrão]]-Tabela2[[#This Row],[SLA Atendimento]]</f>
        <v>0</v>
      </c>
      <c r="L895" s="11"/>
      <c r="O895" s="1" t="s">
        <v>30</v>
      </c>
      <c r="P895" s="2">
        <f>Tabela2[[#This Row],[Proposta
 Inicial]]-Tabela2[[#This Row],[Proposta
 Negociada]]</f>
        <v>0</v>
      </c>
      <c r="Q895" s="4" t="e">
        <f>Tabela2[[#This Row],[Proposta
 Negociada]]/Tabela2[[#This Row],[Proposta
 Inicial]]-1</f>
        <v>#DIV/0!</v>
      </c>
      <c r="S895"/>
    </row>
    <row r="896" spans="1:19" ht="15" customHeight="1">
      <c r="A896" s="9"/>
      <c r="B896" s="9"/>
      <c r="C896" s="1">
        <f>Tabela2[[#This Row],[Data
Pedido]]-Tabela2[[#This Row],[Data Última Aprovação RC]]</f>
        <v>0</v>
      </c>
      <c r="J896" s="1" t="str">
        <f t="shared" ca="1" si="23"/>
        <v/>
      </c>
      <c r="K896" s="11">
        <f>Tabela2[[#This Row],[SLA
Padrão]]-Tabela2[[#This Row],[SLA Atendimento]]</f>
        <v>0</v>
      </c>
      <c r="L896" s="11"/>
      <c r="O896" s="1" t="s">
        <v>30</v>
      </c>
      <c r="P896" s="2">
        <f>Tabela2[[#This Row],[Proposta
 Inicial]]-Tabela2[[#This Row],[Proposta
 Negociada]]</f>
        <v>0</v>
      </c>
      <c r="Q896" s="4" t="e">
        <f>Tabela2[[#This Row],[Proposta
 Negociada]]/Tabela2[[#This Row],[Proposta
 Inicial]]-1</f>
        <v>#DIV/0!</v>
      </c>
      <c r="S896"/>
    </row>
    <row r="897" spans="1:19" ht="15" customHeight="1">
      <c r="A897" s="9"/>
      <c r="B897" s="9"/>
      <c r="C897" s="1">
        <f>Tabela2[[#This Row],[Data
Pedido]]-Tabela2[[#This Row],[Data Última Aprovação RC]]</f>
        <v>0</v>
      </c>
      <c r="J897" s="1" t="str">
        <f t="shared" ca="1" si="23"/>
        <v/>
      </c>
      <c r="K897" s="11">
        <f>Tabela2[[#This Row],[SLA
Padrão]]-Tabela2[[#This Row],[SLA Atendimento]]</f>
        <v>0</v>
      </c>
      <c r="L897" s="11"/>
      <c r="O897" s="1" t="s">
        <v>30</v>
      </c>
      <c r="P897" s="2">
        <f>Tabela2[[#This Row],[Proposta
 Inicial]]-Tabela2[[#This Row],[Proposta
 Negociada]]</f>
        <v>0</v>
      </c>
      <c r="Q897" s="4" t="e">
        <f>Tabela2[[#This Row],[Proposta
 Negociada]]/Tabela2[[#This Row],[Proposta
 Inicial]]-1</f>
        <v>#DIV/0!</v>
      </c>
      <c r="S897"/>
    </row>
    <row r="898" spans="1:19" ht="15" customHeight="1">
      <c r="A898" s="9"/>
      <c r="B898" s="9"/>
      <c r="C898" s="1">
        <f>Tabela2[[#This Row],[Data
Pedido]]-Tabela2[[#This Row],[Data Última Aprovação RC]]</f>
        <v>0</v>
      </c>
      <c r="J898" s="1" t="str">
        <f t="shared" ca="1" si="23"/>
        <v/>
      </c>
      <c r="K898" s="11">
        <f>Tabela2[[#This Row],[SLA
Padrão]]-Tabela2[[#This Row],[SLA Atendimento]]</f>
        <v>0</v>
      </c>
      <c r="L898" s="11"/>
      <c r="O898" s="1" t="s">
        <v>30</v>
      </c>
      <c r="P898" s="2">
        <f>Tabela2[[#This Row],[Proposta
 Inicial]]-Tabela2[[#This Row],[Proposta
 Negociada]]</f>
        <v>0</v>
      </c>
      <c r="Q898" s="4" t="e">
        <f>Tabela2[[#This Row],[Proposta
 Negociada]]/Tabela2[[#This Row],[Proposta
 Inicial]]-1</f>
        <v>#DIV/0!</v>
      </c>
      <c r="S898"/>
    </row>
    <row r="899" spans="1:19" ht="15" customHeight="1">
      <c r="A899" s="9"/>
      <c r="B899" s="9"/>
      <c r="C899" s="1">
        <f>Tabela2[[#This Row],[Data
Pedido]]-Tabela2[[#This Row],[Data Última Aprovação RC]]</f>
        <v>0</v>
      </c>
      <c r="J899" s="1" t="str">
        <f t="shared" ca="1" si="23"/>
        <v/>
      </c>
      <c r="K899" s="11">
        <f>Tabela2[[#This Row],[SLA
Padrão]]-Tabela2[[#This Row],[SLA Atendimento]]</f>
        <v>0</v>
      </c>
      <c r="L899" s="11"/>
      <c r="O899" s="1" t="s">
        <v>30</v>
      </c>
      <c r="P899" s="2">
        <f>Tabela2[[#This Row],[Proposta
 Inicial]]-Tabela2[[#This Row],[Proposta
 Negociada]]</f>
        <v>0</v>
      </c>
      <c r="Q899" s="4" t="e">
        <f>Tabela2[[#This Row],[Proposta
 Negociada]]/Tabela2[[#This Row],[Proposta
 Inicial]]-1</f>
        <v>#DIV/0!</v>
      </c>
      <c r="S899"/>
    </row>
    <row r="900" spans="1:19" ht="15" customHeight="1">
      <c r="A900" s="9"/>
      <c r="B900" s="9"/>
      <c r="C900" s="1">
        <f>Tabela2[[#This Row],[Data
Pedido]]-Tabela2[[#This Row],[Data Última Aprovação RC]]</f>
        <v>0</v>
      </c>
      <c r="J900" s="1" t="str">
        <f t="shared" ca="1" si="23"/>
        <v/>
      </c>
      <c r="K900" s="11">
        <f>Tabela2[[#This Row],[SLA
Padrão]]-Tabela2[[#This Row],[SLA Atendimento]]</f>
        <v>0</v>
      </c>
      <c r="L900" s="11"/>
      <c r="O900" s="1" t="s">
        <v>30</v>
      </c>
      <c r="P900" s="2">
        <f>Tabela2[[#This Row],[Proposta
 Inicial]]-Tabela2[[#This Row],[Proposta
 Negociada]]</f>
        <v>0</v>
      </c>
      <c r="Q900" s="4" t="e">
        <f>Tabela2[[#This Row],[Proposta
 Negociada]]/Tabela2[[#This Row],[Proposta
 Inicial]]-1</f>
        <v>#DIV/0!</v>
      </c>
      <c r="S900"/>
    </row>
    <row r="901" spans="1:19" ht="15" customHeight="1">
      <c r="A901" s="9"/>
      <c r="B901" s="9"/>
      <c r="C901" s="1">
        <f>Tabela2[[#This Row],[Data
Pedido]]-Tabela2[[#This Row],[Data Última Aprovação RC]]</f>
        <v>0</v>
      </c>
      <c r="J901" s="1" t="str">
        <f t="shared" ca="1" si="23"/>
        <v/>
      </c>
      <c r="K901" s="11">
        <f>Tabela2[[#This Row],[SLA
Padrão]]-Tabela2[[#This Row],[SLA Atendimento]]</f>
        <v>0</v>
      </c>
      <c r="L901" s="11"/>
      <c r="O901" s="1" t="s">
        <v>30</v>
      </c>
      <c r="P901" s="2">
        <f>Tabela2[[#This Row],[Proposta
 Inicial]]-Tabela2[[#This Row],[Proposta
 Negociada]]</f>
        <v>0</v>
      </c>
      <c r="Q901" s="4" t="e">
        <f>Tabela2[[#This Row],[Proposta
 Negociada]]/Tabela2[[#This Row],[Proposta
 Inicial]]-1</f>
        <v>#DIV/0!</v>
      </c>
      <c r="S901"/>
    </row>
    <row r="902" spans="1:19" ht="15" customHeight="1">
      <c r="A902" s="9"/>
      <c r="B902" s="9"/>
      <c r="C902" s="1">
        <f>Tabela2[[#This Row],[Data
Pedido]]-Tabela2[[#This Row],[Data Última Aprovação RC]]</f>
        <v>0</v>
      </c>
      <c r="J902" s="1" t="str">
        <f t="shared" ca="1" si="23"/>
        <v/>
      </c>
      <c r="K902" s="11">
        <f>Tabela2[[#This Row],[SLA
Padrão]]-Tabela2[[#This Row],[SLA Atendimento]]</f>
        <v>0</v>
      </c>
      <c r="L902" s="11"/>
      <c r="O902" s="1" t="s">
        <v>30</v>
      </c>
      <c r="P902" s="2">
        <f>Tabela2[[#This Row],[Proposta
 Inicial]]-Tabela2[[#This Row],[Proposta
 Negociada]]</f>
        <v>0</v>
      </c>
      <c r="Q902" s="4" t="e">
        <f>Tabela2[[#This Row],[Proposta
 Negociada]]/Tabela2[[#This Row],[Proposta
 Inicial]]-1</f>
        <v>#DIV/0!</v>
      </c>
      <c r="S902"/>
    </row>
    <row r="903" spans="1:19" ht="15" customHeight="1">
      <c r="A903" s="9"/>
      <c r="B903" s="9"/>
      <c r="C903" s="1">
        <f>Tabela2[[#This Row],[Data
Pedido]]-Tabela2[[#This Row],[Data Última Aprovação RC]]</f>
        <v>0</v>
      </c>
      <c r="J903" s="1" t="str">
        <f t="shared" ca="1" si="23"/>
        <v/>
      </c>
      <c r="K903" s="11">
        <f>Tabela2[[#This Row],[SLA
Padrão]]-Tabela2[[#This Row],[SLA Atendimento]]</f>
        <v>0</v>
      </c>
      <c r="L903" s="11"/>
      <c r="O903" s="1" t="s">
        <v>30</v>
      </c>
      <c r="P903" s="2">
        <f>Tabela2[[#This Row],[Proposta
 Inicial]]-Tabela2[[#This Row],[Proposta
 Negociada]]</f>
        <v>0</v>
      </c>
      <c r="Q903" s="4" t="e">
        <f>Tabela2[[#This Row],[Proposta
 Negociada]]/Tabela2[[#This Row],[Proposta
 Inicial]]-1</f>
        <v>#DIV/0!</v>
      </c>
      <c r="S903"/>
    </row>
    <row r="904" spans="1:19" ht="15" customHeight="1">
      <c r="A904" s="9"/>
      <c r="B904" s="9"/>
      <c r="C904" s="1">
        <f>Tabela2[[#This Row],[Data
Pedido]]-Tabela2[[#This Row],[Data Última Aprovação RC]]</f>
        <v>0</v>
      </c>
      <c r="J904" s="1" t="str">
        <f t="shared" ca="1" si="23"/>
        <v/>
      </c>
      <c r="K904" s="11">
        <f>Tabela2[[#This Row],[SLA
Padrão]]-Tabela2[[#This Row],[SLA Atendimento]]</f>
        <v>0</v>
      </c>
      <c r="L904" s="11"/>
      <c r="O904" s="1" t="s">
        <v>30</v>
      </c>
      <c r="P904" s="2">
        <f>Tabela2[[#This Row],[Proposta
 Inicial]]-Tabela2[[#This Row],[Proposta
 Negociada]]</f>
        <v>0</v>
      </c>
      <c r="Q904" s="4" t="e">
        <f>Tabela2[[#This Row],[Proposta
 Negociada]]/Tabela2[[#This Row],[Proposta
 Inicial]]-1</f>
        <v>#DIV/0!</v>
      </c>
      <c r="S904"/>
    </row>
    <row r="905" spans="1:19" ht="15" customHeight="1">
      <c r="A905" s="9"/>
      <c r="B905" s="9"/>
      <c r="C905" s="1">
        <f>Tabela2[[#This Row],[Data
Pedido]]-Tabela2[[#This Row],[Data Última Aprovação RC]]</f>
        <v>0</v>
      </c>
      <c r="J905" s="1" t="str">
        <f t="shared" ca="1" si="23"/>
        <v/>
      </c>
      <c r="K905" s="11">
        <f>Tabela2[[#This Row],[SLA
Padrão]]-Tabela2[[#This Row],[SLA Atendimento]]</f>
        <v>0</v>
      </c>
      <c r="L905" s="11"/>
      <c r="O905" s="1" t="s">
        <v>30</v>
      </c>
      <c r="P905" s="2">
        <f>Tabela2[[#This Row],[Proposta
 Inicial]]-Tabela2[[#This Row],[Proposta
 Negociada]]</f>
        <v>0</v>
      </c>
      <c r="Q905" s="4" t="e">
        <f>Tabela2[[#This Row],[Proposta
 Negociada]]/Tabela2[[#This Row],[Proposta
 Inicial]]-1</f>
        <v>#DIV/0!</v>
      </c>
      <c r="S905"/>
    </row>
    <row r="906" spans="1:19" ht="15" customHeight="1">
      <c r="A906" s="9"/>
      <c r="B906" s="9"/>
      <c r="C906" s="1">
        <f>Tabela2[[#This Row],[Data
Pedido]]-Tabela2[[#This Row],[Data Última Aprovação RC]]</f>
        <v>0</v>
      </c>
      <c r="J906" s="1" t="str">
        <f t="shared" ca="1" si="23"/>
        <v/>
      </c>
      <c r="K906" s="11">
        <f>Tabela2[[#This Row],[SLA
Padrão]]-Tabela2[[#This Row],[SLA Atendimento]]</f>
        <v>0</v>
      </c>
      <c r="L906" s="11"/>
      <c r="O906" s="1" t="s">
        <v>30</v>
      </c>
      <c r="P906" s="2">
        <f>Tabela2[[#This Row],[Proposta
 Inicial]]-Tabela2[[#This Row],[Proposta
 Negociada]]</f>
        <v>0</v>
      </c>
      <c r="Q906" s="4" t="e">
        <f>Tabela2[[#This Row],[Proposta
 Negociada]]/Tabela2[[#This Row],[Proposta
 Inicial]]-1</f>
        <v>#DIV/0!</v>
      </c>
      <c r="S906"/>
    </row>
    <row r="907" spans="1:19" ht="15" customHeight="1">
      <c r="A907" s="9"/>
      <c r="B907" s="9"/>
      <c r="C907" s="1">
        <f>Tabela2[[#This Row],[Data
Pedido]]-Tabela2[[#This Row],[Data Última Aprovação RC]]</f>
        <v>0</v>
      </c>
      <c r="J907" s="1" t="str">
        <f t="shared" ca="1" si="23"/>
        <v/>
      </c>
      <c r="K907" s="11">
        <f>Tabela2[[#This Row],[SLA
Padrão]]-Tabela2[[#This Row],[SLA Atendimento]]</f>
        <v>0</v>
      </c>
      <c r="L907" s="11"/>
      <c r="O907" s="1" t="s">
        <v>30</v>
      </c>
      <c r="P907" s="2">
        <f>Tabela2[[#This Row],[Proposta
 Inicial]]-Tabela2[[#This Row],[Proposta
 Negociada]]</f>
        <v>0</v>
      </c>
      <c r="Q907" s="4" t="e">
        <f>Tabela2[[#This Row],[Proposta
 Negociada]]/Tabela2[[#This Row],[Proposta
 Inicial]]-1</f>
        <v>#DIV/0!</v>
      </c>
      <c r="S907"/>
    </row>
    <row r="908" spans="1:19" ht="15" customHeight="1">
      <c r="A908" s="9"/>
      <c r="B908" s="9"/>
      <c r="C908" s="1">
        <f>Tabela2[[#This Row],[Data
Pedido]]-Tabela2[[#This Row],[Data Última Aprovação RC]]</f>
        <v>0</v>
      </c>
      <c r="J908" s="1" t="str">
        <f t="shared" ca="1" si="23"/>
        <v/>
      </c>
      <c r="K908" s="11">
        <f>Tabela2[[#This Row],[SLA
Padrão]]-Tabela2[[#This Row],[SLA Atendimento]]</f>
        <v>0</v>
      </c>
      <c r="L908" s="11"/>
      <c r="O908" s="1" t="s">
        <v>30</v>
      </c>
      <c r="P908" s="2">
        <f>Tabela2[[#This Row],[Proposta
 Inicial]]-Tabela2[[#This Row],[Proposta
 Negociada]]</f>
        <v>0</v>
      </c>
      <c r="Q908" s="4" t="e">
        <f>Tabela2[[#This Row],[Proposta
 Negociada]]/Tabela2[[#This Row],[Proposta
 Inicial]]-1</f>
        <v>#DIV/0!</v>
      </c>
      <c r="S908"/>
    </row>
    <row r="909" spans="1:19" ht="15" customHeight="1">
      <c r="A909" s="9"/>
      <c r="B909" s="9"/>
      <c r="C909" s="1">
        <f>Tabela2[[#This Row],[Data
Pedido]]-Tabela2[[#This Row],[Data Última Aprovação RC]]</f>
        <v>0</v>
      </c>
      <c r="J909" s="1" t="str">
        <f t="shared" ca="1" si="23"/>
        <v/>
      </c>
      <c r="K909" s="11">
        <f>Tabela2[[#This Row],[SLA
Padrão]]-Tabela2[[#This Row],[SLA Atendimento]]</f>
        <v>0</v>
      </c>
      <c r="L909" s="11"/>
      <c r="O909" s="1" t="s">
        <v>30</v>
      </c>
      <c r="P909" s="2">
        <f>Tabela2[[#This Row],[Proposta
 Inicial]]-Tabela2[[#This Row],[Proposta
 Negociada]]</f>
        <v>0</v>
      </c>
      <c r="Q909" s="4" t="e">
        <f>Tabela2[[#This Row],[Proposta
 Negociada]]/Tabela2[[#This Row],[Proposta
 Inicial]]-1</f>
        <v>#DIV/0!</v>
      </c>
      <c r="S909"/>
    </row>
    <row r="910" spans="1:19" ht="15" customHeight="1">
      <c r="A910" s="9"/>
      <c r="B910" s="9"/>
      <c r="C910" s="1">
        <f>Tabela2[[#This Row],[Data
Pedido]]-Tabela2[[#This Row],[Data Última Aprovação RC]]</f>
        <v>0</v>
      </c>
      <c r="J910" s="1" t="str">
        <f t="shared" ca="1" si="23"/>
        <v/>
      </c>
      <c r="K910" s="11">
        <f>Tabela2[[#This Row],[SLA
Padrão]]-Tabela2[[#This Row],[SLA Atendimento]]</f>
        <v>0</v>
      </c>
      <c r="L910" s="11"/>
      <c r="O910" s="1" t="s">
        <v>30</v>
      </c>
      <c r="P910" s="2">
        <f>Tabela2[[#This Row],[Proposta
 Inicial]]-Tabela2[[#This Row],[Proposta
 Negociada]]</f>
        <v>0</v>
      </c>
      <c r="Q910" s="4" t="e">
        <f>Tabela2[[#This Row],[Proposta
 Negociada]]/Tabela2[[#This Row],[Proposta
 Inicial]]-1</f>
        <v>#DIV/0!</v>
      </c>
      <c r="S910"/>
    </row>
    <row r="911" spans="1:19" ht="15" customHeight="1">
      <c r="A911" s="9"/>
      <c r="B911" s="9"/>
      <c r="C911" s="1">
        <f>Tabela2[[#This Row],[Data
Pedido]]-Tabela2[[#This Row],[Data Última Aprovação RC]]</f>
        <v>0</v>
      </c>
      <c r="J911" s="1" t="str">
        <f t="shared" ca="1" si="23"/>
        <v/>
      </c>
      <c r="K911" s="11">
        <f>Tabela2[[#This Row],[SLA
Padrão]]-Tabela2[[#This Row],[SLA Atendimento]]</f>
        <v>0</v>
      </c>
      <c r="L911" s="11"/>
      <c r="O911" s="1" t="s">
        <v>30</v>
      </c>
      <c r="P911" s="2">
        <f>Tabela2[[#This Row],[Proposta
 Inicial]]-Tabela2[[#This Row],[Proposta
 Negociada]]</f>
        <v>0</v>
      </c>
      <c r="Q911" s="4" t="e">
        <f>Tabela2[[#This Row],[Proposta
 Negociada]]/Tabela2[[#This Row],[Proposta
 Inicial]]-1</f>
        <v>#DIV/0!</v>
      </c>
      <c r="S911"/>
    </row>
    <row r="912" spans="1:19" ht="15" customHeight="1">
      <c r="A912" s="9"/>
      <c r="B912" s="9"/>
      <c r="C912" s="1">
        <f>Tabela2[[#This Row],[Data
Pedido]]-Tabela2[[#This Row],[Data Última Aprovação RC]]</f>
        <v>0</v>
      </c>
      <c r="J912" s="1" t="str">
        <f t="shared" ca="1" si="23"/>
        <v/>
      </c>
      <c r="K912" s="11">
        <f>Tabela2[[#This Row],[SLA
Padrão]]-Tabela2[[#This Row],[SLA Atendimento]]</f>
        <v>0</v>
      </c>
      <c r="L912" s="11"/>
      <c r="O912" s="1" t="s">
        <v>30</v>
      </c>
      <c r="P912" s="2">
        <f>Tabela2[[#This Row],[Proposta
 Inicial]]-Tabela2[[#This Row],[Proposta
 Negociada]]</f>
        <v>0</v>
      </c>
      <c r="Q912" s="4" t="e">
        <f>Tabela2[[#This Row],[Proposta
 Negociada]]/Tabela2[[#This Row],[Proposta
 Inicial]]-1</f>
        <v>#DIV/0!</v>
      </c>
      <c r="S912"/>
    </row>
    <row r="913" spans="1:19" ht="15" customHeight="1">
      <c r="A913" s="9"/>
      <c r="B913" s="9"/>
      <c r="C913" s="1">
        <f>Tabela2[[#This Row],[Data
Pedido]]-Tabela2[[#This Row],[Data Última Aprovação RC]]</f>
        <v>0</v>
      </c>
      <c r="J913" s="1" t="str">
        <f t="shared" ca="1" si="23"/>
        <v/>
      </c>
      <c r="K913" s="11">
        <f>Tabela2[[#This Row],[SLA
Padrão]]-Tabela2[[#This Row],[SLA Atendimento]]</f>
        <v>0</v>
      </c>
      <c r="L913" s="11"/>
      <c r="O913" s="1" t="s">
        <v>30</v>
      </c>
      <c r="P913" s="2">
        <f>Tabela2[[#This Row],[Proposta
 Inicial]]-Tabela2[[#This Row],[Proposta
 Negociada]]</f>
        <v>0</v>
      </c>
      <c r="Q913" s="4" t="e">
        <f>Tabela2[[#This Row],[Proposta
 Negociada]]/Tabela2[[#This Row],[Proposta
 Inicial]]-1</f>
        <v>#DIV/0!</v>
      </c>
      <c r="S913"/>
    </row>
    <row r="914" spans="1:19" ht="15" customHeight="1">
      <c r="A914" s="9"/>
      <c r="B914" s="9"/>
      <c r="C914" s="1">
        <f>Tabela2[[#This Row],[Data
Pedido]]-Tabela2[[#This Row],[Data Última Aprovação RC]]</f>
        <v>0</v>
      </c>
      <c r="J914" s="1" t="str">
        <f t="shared" ca="1" si="23"/>
        <v/>
      </c>
      <c r="K914" s="11">
        <f>Tabela2[[#This Row],[SLA
Padrão]]-Tabela2[[#This Row],[SLA Atendimento]]</f>
        <v>0</v>
      </c>
      <c r="L914" s="11"/>
      <c r="O914" s="1" t="s">
        <v>30</v>
      </c>
      <c r="P914" s="2">
        <f>Tabela2[[#This Row],[Proposta
 Inicial]]-Tabela2[[#This Row],[Proposta
 Negociada]]</f>
        <v>0</v>
      </c>
      <c r="Q914" s="4" t="e">
        <f>Tabela2[[#This Row],[Proposta
 Negociada]]/Tabela2[[#This Row],[Proposta
 Inicial]]-1</f>
        <v>#DIV/0!</v>
      </c>
      <c r="S914"/>
    </row>
    <row r="915" spans="1:19" ht="15" customHeight="1">
      <c r="A915" s="9"/>
      <c r="B915" s="9"/>
      <c r="C915" s="1">
        <f>Tabela2[[#This Row],[Data
Pedido]]-Tabela2[[#This Row],[Data Última Aprovação RC]]</f>
        <v>0</v>
      </c>
      <c r="J915" s="1" t="str">
        <f t="shared" ca="1" si="23"/>
        <v/>
      </c>
      <c r="K915" s="11">
        <f>Tabela2[[#This Row],[SLA
Padrão]]-Tabela2[[#This Row],[SLA Atendimento]]</f>
        <v>0</v>
      </c>
      <c r="L915" s="11"/>
      <c r="O915" s="1" t="s">
        <v>30</v>
      </c>
      <c r="P915" s="2">
        <f>Tabela2[[#This Row],[Proposta
 Inicial]]-Tabela2[[#This Row],[Proposta
 Negociada]]</f>
        <v>0</v>
      </c>
      <c r="Q915" s="4" t="e">
        <f>Tabela2[[#This Row],[Proposta
 Negociada]]/Tabela2[[#This Row],[Proposta
 Inicial]]-1</f>
        <v>#DIV/0!</v>
      </c>
      <c r="S915"/>
    </row>
    <row r="916" spans="1:19" ht="15" customHeight="1">
      <c r="A916" s="9"/>
      <c r="B916" s="9"/>
      <c r="C916" s="1">
        <f>Tabela2[[#This Row],[Data
Pedido]]-Tabela2[[#This Row],[Data Última Aprovação RC]]</f>
        <v>0</v>
      </c>
      <c r="J916" s="1" t="str">
        <f t="shared" ca="1" si="23"/>
        <v/>
      </c>
      <c r="K916" s="11">
        <f>Tabela2[[#This Row],[SLA
Padrão]]-Tabela2[[#This Row],[SLA Atendimento]]</f>
        <v>0</v>
      </c>
      <c r="L916" s="11"/>
      <c r="O916" s="1" t="s">
        <v>30</v>
      </c>
      <c r="P916" s="2">
        <f>Tabela2[[#This Row],[Proposta
 Inicial]]-Tabela2[[#This Row],[Proposta
 Negociada]]</f>
        <v>0</v>
      </c>
      <c r="Q916" s="4" t="e">
        <f>Tabela2[[#This Row],[Proposta
 Negociada]]/Tabela2[[#This Row],[Proposta
 Inicial]]-1</f>
        <v>#DIV/0!</v>
      </c>
      <c r="S916"/>
    </row>
    <row r="917" spans="1:19" ht="15" customHeight="1">
      <c r="A917" s="9"/>
      <c r="B917" s="9"/>
      <c r="C917" s="1">
        <f>Tabela2[[#This Row],[Data
Pedido]]-Tabela2[[#This Row],[Data Última Aprovação RC]]</f>
        <v>0</v>
      </c>
      <c r="J917" s="1" t="str">
        <f t="shared" ca="1" si="23"/>
        <v/>
      </c>
      <c r="K917" s="11">
        <f>Tabela2[[#This Row],[SLA
Padrão]]-Tabela2[[#This Row],[SLA Atendimento]]</f>
        <v>0</v>
      </c>
      <c r="L917" s="11"/>
      <c r="O917" s="1" t="s">
        <v>30</v>
      </c>
      <c r="P917" s="2">
        <f>Tabela2[[#This Row],[Proposta
 Inicial]]-Tabela2[[#This Row],[Proposta
 Negociada]]</f>
        <v>0</v>
      </c>
      <c r="Q917" s="4" t="e">
        <f>Tabela2[[#This Row],[Proposta
 Negociada]]/Tabela2[[#This Row],[Proposta
 Inicial]]-1</f>
        <v>#DIV/0!</v>
      </c>
      <c r="S917"/>
    </row>
    <row r="918" spans="1:19" ht="15" customHeight="1">
      <c r="A918" s="9"/>
      <c r="B918" s="9"/>
      <c r="C918" s="1">
        <f>Tabela2[[#This Row],[Data
Pedido]]-Tabela2[[#This Row],[Data Última Aprovação RC]]</f>
        <v>0</v>
      </c>
      <c r="J918" s="1" t="str">
        <f t="shared" ca="1" si="23"/>
        <v/>
      </c>
      <c r="K918" s="11">
        <f>Tabela2[[#This Row],[SLA
Padrão]]-Tabela2[[#This Row],[SLA Atendimento]]</f>
        <v>0</v>
      </c>
      <c r="L918" s="11"/>
      <c r="O918" s="1" t="s">
        <v>30</v>
      </c>
      <c r="P918" s="2">
        <f>Tabela2[[#This Row],[Proposta
 Inicial]]-Tabela2[[#This Row],[Proposta
 Negociada]]</f>
        <v>0</v>
      </c>
      <c r="Q918" s="4" t="e">
        <f>Tabela2[[#This Row],[Proposta
 Negociada]]/Tabela2[[#This Row],[Proposta
 Inicial]]-1</f>
        <v>#DIV/0!</v>
      </c>
      <c r="S918"/>
    </row>
    <row r="919" spans="1:19" ht="15" customHeight="1">
      <c r="A919" s="9"/>
      <c r="B919" s="9"/>
      <c r="C919" s="1">
        <f>Tabela2[[#This Row],[Data
Pedido]]-Tabela2[[#This Row],[Data Última Aprovação RC]]</f>
        <v>0</v>
      </c>
      <c r="J919" s="1" t="str">
        <f t="shared" ca="1" si="23"/>
        <v/>
      </c>
      <c r="K919" s="11">
        <f>Tabela2[[#This Row],[SLA
Padrão]]-Tabela2[[#This Row],[SLA Atendimento]]</f>
        <v>0</v>
      </c>
      <c r="L919" s="11"/>
      <c r="O919" s="1" t="s">
        <v>30</v>
      </c>
      <c r="P919" s="2">
        <f>Tabela2[[#This Row],[Proposta
 Inicial]]-Tabela2[[#This Row],[Proposta
 Negociada]]</f>
        <v>0</v>
      </c>
      <c r="Q919" s="4" t="e">
        <f>Tabela2[[#This Row],[Proposta
 Negociada]]/Tabela2[[#This Row],[Proposta
 Inicial]]-1</f>
        <v>#DIV/0!</v>
      </c>
      <c r="S919"/>
    </row>
    <row r="920" spans="1:19" ht="15" customHeight="1">
      <c r="A920" s="9"/>
      <c r="B920" s="9"/>
      <c r="C920" s="1">
        <f>Tabela2[[#This Row],[Data
Pedido]]-Tabela2[[#This Row],[Data Última Aprovação RC]]</f>
        <v>0</v>
      </c>
      <c r="J920" s="1" t="str">
        <f t="shared" ca="1" si="23"/>
        <v/>
      </c>
      <c r="K920" s="11">
        <f>Tabela2[[#This Row],[SLA
Padrão]]-Tabela2[[#This Row],[SLA Atendimento]]</f>
        <v>0</v>
      </c>
      <c r="L920" s="11"/>
      <c r="O920" s="1" t="s">
        <v>30</v>
      </c>
      <c r="P920" s="2">
        <f>Tabela2[[#This Row],[Proposta
 Inicial]]-Tabela2[[#This Row],[Proposta
 Negociada]]</f>
        <v>0</v>
      </c>
      <c r="Q920" s="4" t="e">
        <f>Tabela2[[#This Row],[Proposta
 Negociada]]/Tabela2[[#This Row],[Proposta
 Inicial]]-1</f>
        <v>#DIV/0!</v>
      </c>
      <c r="S920"/>
    </row>
    <row r="921" spans="1:19" ht="15" customHeight="1">
      <c r="A921" s="9"/>
      <c r="B921" s="9"/>
      <c r="C921" s="1">
        <f>Tabela2[[#This Row],[Data
Pedido]]-Tabela2[[#This Row],[Data Última Aprovação RC]]</f>
        <v>0</v>
      </c>
      <c r="J921" s="1" t="str">
        <f t="shared" ca="1" si="23"/>
        <v/>
      </c>
      <c r="K921" s="11">
        <f>Tabela2[[#This Row],[SLA
Padrão]]-Tabela2[[#This Row],[SLA Atendimento]]</f>
        <v>0</v>
      </c>
      <c r="L921" s="11"/>
      <c r="O921" s="1" t="s">
        <v>30</v>
      </c>
      <c r="P921" s="2">
        <f>Tabela2[[#This Row],[Proposta
 Inicial]]-Tabela2[[#This Row],[Proposta
 Negociada]]</f>
        <v>0</v>
      </c>
      <c r="Q921" s="4" t="e">
        <f>Tabela2[[#This Row],[Proposta
 Negociada]]/Tabela2[[#This Row],[Proposta
 Inicial]]-1</f>
        <v>#DIV/0!</v>
      </c>
      <c r="S921"/>
    </row>
    <row r="922" spans="1:19" ht="15" customHeight="1">
      <c r="A922" s="9"/>
      <c r="B922" s="9"/>
      <c r="C922" s="1">
        <f>Tabela2[[#This Row],[Data
Pedido]]-Tabela2[[#This Row],[Data Última Aprovação RC]]</f>
        <v>0</v>
      </c>
      <c r="J922" s="1" t="str">
        <f t="shared" ca="1" si="23"/>
        <v/>
      </c>
      <c r="K922" s="11">
        <f>Tabela2[[#This Row],[SLA
Padrão]]-Tabela2[[#This Row],[SLA Atendimento]]</f>
        <v>0</v>
      </c>
      <c r="L922" s="11"/>
      <c r="O922" s="1" t="s">
        <v>30</v>
      </c>
      <c r="P922" s="2">
        <f>Tabela2[[#This Row],[Proposta
 Inicial]]-Tabela2[[#This Row],[Proposta
 Negociada]]</f>
        <v>0</v>
      </c>
      <c r="Q922" s="4" t="e">
        <f>Tabela2[[#This Row],[Proposta
 Negociada]]/Tabela2[[#This Row],[Proposta
 Inicial]]-1</f>
        <v>#DIV/0!</v>
      </c>
      <c r="S922"/>
    </row>
    <row r="923" spans="1:19" ht="15" customHeight="1">
      <c r="A923" s="9"/>
      <c r="B923" s="9"/>
      <c r="C923" s="1">
        <f>Tabela2[[#This Row],[Data
Pedido]]-Tabela2[[#This Row],[Data Última Aprovação RC]]</f>
        <v>0</v>
      </c>
      <c r="J923" s="1" t="str">
        <f t="shared" ca="1" si="23"/>
        <v/>
      </c>
      <c r="K923" s="11">
        <f>Tabela2[[#This Row],[SLA
Padrão]]-Tabela2[[#This Row],[SLA Atendimento]]</f>
        <v>0</v>
      </c>
      <c r="L923" s="11"/>
      <c r="O923" s="1" t="s">
        <v>30</v>
      </c>
      <c r="P923" s="2">
        <f>Tabela2[[#This Row],[Proposta
 Inicial]]-Tabela2[[#This Row],[Proposta
 Negociada]]</f>
        <v>0</v>
      </c>
      <c r="Q923" s="4" t="e">
        <f>Tabela2[[#This Row],[Proposta
 Negociada]]/Tabela2[[#This Row],[Proposta
 Inicial]]-1</f>
        <v>#DIV/0!</v>
      </c>
      <c r="S923"/>
    </row>
    <row r="924" spans="1:19" ht="15" customHeight="1">
      <c r="A924" s="9"/>
      <c r="B924" s="9"/>
      <c r="C924" s="1">
        <f>Tabela2[[#This Row],[Data
Pedido]]-Tabela2[[#This Row],[Data Última Aprovação RC]]</f>
        <v>0</v>
      </c>
      <c r="J924" s="1" t="str">
        <f t="shared" ca="1" si="23"/>
        <v/>
      </c>
      <c r="K924" s="11">
        <f>Tabela2[[#This Row],[SLA
Padrão]]-Tabela2[[#This Row],[SLA Atendimento]]</f>
        <v>0</v>
      </c>
      <c r="L924" s="11"/>
      <c r="O924" s="1" t="s">
        <v>30</v>
      </c>
      <c r="P924" s="2">
        <f>Tabela2[[#This Row],[Proposta
 Inicial]]-Tabela2[[#This Row],[Proposta
 Negociada]]</f>
        <v>0</v>
      </c>
      <c r="Q924" s="4" t="e">
        <f>Tabela2[[#This Row],[Proposta
 Negociada]]/Tabela2[[#This Row],[Proposta
 Inicial]]-1</f>
        <v>#DIV/0!</v>
      </c>
      <c r="S924"/>
    </row>
    <row r="925" spans="1:19" ht="15" customHeight="1">
      <c r="A925" s="9"/>
      <c r="B925" s="9"/>
      <c r="C925" s="1">
        <f>Tabela2[[#This Row],[Data
Pedido]]-Tabela2[[#This Row],[Data Última Aprovação RC]]</f>
        <v>0</v>
      </c>
      <c r="J925" s="1" t="str">
        <f t="shared" ca="1" si="23"/>
        <v/>
      </c>
      <c r="K925" s="11">
        <f>Tabela2[[#This Row],[SLA
Padrão]]-Tabela2[[#This Row],[SLA Atendimento]]</f>
        <v>0</v>
      </c>
      <c r="L925" s="11"/>
      <c r="O925" s="1" t="s">
        <v>30</v>
      </c>
      <c r="P925" s="2">
        <f>Tabela2[[#This Row],[Proposta
 Inicial]]-Tabela2[[#This Row],[Proposta
 Negociada]]</f>
        <v>0</v>
      </c>
      <c r="Q925" s="4" t="e">
        <f>Tabela2[[#This Row],[Proposta
 Negociada]]/Tabela2[[#This Row],[Proposta
 Inicial]]-1</f>
        <v>#DIV/0!</v>
      </c>
      <c r="S925"/>
    </row>
    <row r="926" spans="1:19" ht="15" customHeight="1">
      <c r="A926" s="9"/>
      <c r="B926" s="9"/>
      <c r="C926" s="1">
        <f>Tabela2[[#This Row],[Data
Pedido]]-Tabela2[[#This Row],[Data Última Aprovação RC]]</f>
        <v>0</v>
      </c>
      <c r="J926" s="1" t="str">
        <f t="shared" ca="1" si="23"/>
        <v/>
      </c>
      <c r="K926" s="11">
        <f>Tabela2[[#This Row],[SLA
Padrão]]-Tabela2[[#This Row],[SLA Atendimento]]</f>
        <v>0</v>
      </c>
      <c r="L926" s="11"/>
      <c r="O926" s="1" t="s">
        <v>30</v>
      </c>
      <c r="P926" s="2">
        <f>Tabela2[[#This Row],[Proposta
 Inicial]]-Tabela2[[#This Row],[Proposta
 Negociada]]</f>
        <v>0</v>
      </c>
      <c r="Q926" s="4" t="e">
        <f>Tabela2[[#This Row],[Proposta
 Negociada]]/Tabela2[[#This Row],[Proposta
 Inicial]]-1</f>
        <v>#DIV/0!</v>
      </c>
      <c r="S926"/>
    </row>
    <row r="927" spans="1:19" ht="15" customHeight="1">
      <c r="A927" s="9"/>
      <c r="B927" s="9"/>
      <c r="C927" s="1">
        <f>Tabela2[[#This Row],[Data
Pedido]]-Tabela2[[#This Row],[Data Última Aprovação RC]]</f>
        <v>0</v>
      </c>
      <c r="J927" s="1" t="str">
        <f t="shared" ca="1" si="23"/>
        <v/>
      </c>
      <c r="K927" s="11">
        <f>Tabela2[[#This Row],[SLA
Padrão]]-Tabela2[[#This Row],[SLA Atendimento]]</f>
        <v>0</v>
      </c>
      <c r="L927" s="11"/>
      <c r="O927" s="1" t="s">
        <v>30</v>
      </c>
      <c r="P927" s="2">
        <f>Tabela2[[#This Row],[Proposta
 Inicial]]-Tabela2[[#This Row],[Proposta
 Negociada]]</f>
        <v>0</v>
      </c>
      <c r="Q927" s="4" t="e">
        <f>Tabela2[[#This Row],[Proposta
 Negociada]]/Tabela2[[#This Row],[Proposta
 Inicial]]-1</f>
        <v>#DIV/0!</v>
      </c>
      <c r="S927"/>
    </row>
    <row r="928" spans="1:19" ht="15" customHeight="1">
      <c r="A928" s="9"/>
      <c r="B928" s="9"/>
      <c r="C928" s="1">
        <f>Tabela2[[#This Row],[Data
Pedido]]-Tabela2[[#This Row],[Data Última Aprovação RC]]</f>
        <v>0</v>
      </c>
      <c r="J928" s="1" t="str">
        <f t="shared" ca="1" si="23"/>
        <v/>
      </c>
      <c r="K928" s="11">
        <f>Tabela2[[#This Row],[SLA
Padrão]]-Tabela2[[#This Row],[SLA Atendimento]]</f>
        <v>0</v>
      </c>
      <c r="L928" s="11"/>
      <c r="O928" s="1" t="s">
        <v>30</v>
      </c>
      <c r="P928" s="2">
        <f>Tabela2[[#This Row],[Proposta
 Inicial]]-Tabela2[[#This Row],[Proposta
 Negociada]]</f>
        <v>0</v>
      </c>
      <c r="Q928" s="4" t="e">
        <f>Tabela2[[#This Row],[Proposta
 Negociada]]/Tabela2[[#This Row],[Proposta
 Inicial]]-1</f>
        <v>#DIV/0!</v>
      </c>
      <c r="S928"/>
    </row>
    <row r="929" spans="1:19" ht="15" customHeight="1">
      <c r="A929" s="9"/>
      <c r="B929" s="9"/>
      <c r="C929" s="1">
        <f>Tabela2[[#This Row],[Data
Pedido]]-Tabela2[[#This Row],[Data Última Aprovação RC]]</f>
        <v>0</v>
      </c>
      <c r="J929" s="1" t="str">
        <f t="shared" ca="1" si="23"/>
        <v/>
      </c>
      <c r="K929" s="11">
        <f>Tabela2[[#This Row],[SLA
Padrão]]-Tabela2[[#This Row],[SLA Atendimento]]</f>
        <v>0</v>
      </c>
      <c r="L929" s="11"/>
      <c r="O929" s="1" t="s">
        <v>30</v>
      </c>
      <c r="P929" s="2">
        <f>Tabela2[[#This Row],[Proposta
 Inicial]]-Tabela2[[#This Row],[Proposta
 Negociada]]</f>
        <v>0</v>
      </c>
      <c r="Q929" s="4" t="e">
        <f>Tabela2[[#This Row],[Proposta
 Negociada]]/Tabela2[[#This Row],[Proposta
 Inicial]]-1</f>
        <v>#DIV/0!</v>
      </c>
      <c r="S929"/>
    </row>
    <row r="930" spans="1:19" ht="15" customHeight="1">
      <c r="A930" s="9"/>
      <c r="B930" s="9"/>
      <c r="C930" s="1">
        <f>Tabela2[[#This Row],[Data
Pedido]]-Tabela2[[#This Row],[Data Última Aprovação RC]]</f>
        <v>0</v>
      </c>
      <c r="J930" s="1" t="str">
        <f t="shared" ca="1" si="23"/>
        <v/>
      </c>
      <c r="K930" s="11">
        <f>Tabela2[[#This Row],[SLA
Padrão]]-Tabela2[[#This Row],[SLA Atendimento]]</f>
        <v>0</v>
      </c>
      <c r="L930" s="11"/>
      <c r="O930" s="1" t="s">
        <v>30</v>
      </c>
      <c r="P930" s="2">
        <f>Tabela2[[#This Row],[Proposta
 Inicial]]-Tabela2[[#This Row],[Proposta
 Negociada]]</f>
        <v>0</v>
      </c>
      <c r="Q930" s="4" t="e">
        <f>Tabela2[[#This Row],[Proposta
 Negociada]]/Tabela2[[#This Row],[Proposta
 Inicial]]-1</f>
        <v>#DIV/0!</v>
      </c>
      <c r="S930"/>
    </row>
    <row r="931" spans="1:19" ht="15" customHeight="1">
      <c r="A931" s="9"/>
      <c r="B931" s="9"/>
      <c r="C931" s="1">
        <f>Tabela2[[#This Row],[Data
Pedido]]-Tabela2[[#This Row],[Data Última Aprovação RC]]</f>
        <v>0</v>
      </c>
      <c r="J931" s="1" t="str">
        <f t="shared" ca="1" si="23"/>
        <v/>
      </c>
      <c r="K931" s="11">
        <f>Tabela2[[#This Row],[SLA
Padrão]]-Tabela2[[#This Row],[SLA Atendimento]]</f>
        <v>0</v>
      </c>
      <c r="L931" s="11"/>
      <c r="O931" s="1" t="s">
        <v>30</v>
      </c>
      <c r="P931" s="2">
        <f>Tabela2[[#This Row],[Proposta
 Inicial]]-Tabela2[[#This Row],[Proposta
 Negociada]]</f>
        <v>0</v>
      </c>
      <c r="Q931" s="4" t="e">
        <f>Tabela2[[#This Row],[Proposta
 Negociada]]/Tabela2[[#This Row],[Proposta
 Inicial]]-1</f>
        <v>#DIV/0!</v>
      </c>
      <c r="S931"/>
    </row>
    <row r="932" spans="1:19" ht="15" customHeight="1">
      <c r="A932" s="9"/>
      <c r="B932" s="9"/>
      <c r="C932" s="1">
        <f>Tabela2[[#This Row],[Data
Pedido]]-Tabela2[[#This Row],[Data Última Aprovação RC]]</f>
        <v>0</v>
      </c>
      <c r="J932" s="1" t="str">
        <f t="shared" ca="1" si="23"/>
        <v/>
      </c>
      <c r="K932" s="11">
        <f>Tabela2[[#This Row],[SLA
Padrão]]-Tabela2[[#This Row],[SLA Atendimento]]</f>
        <v>0</v>
      </c>
      <c r="L932" s="11"/>
      <c r="O932" s="1" t="s">
        <v>30</v>
      </c>
      <c r="P932" s="2">
        <f>Tabela2[[#This Row],[Proposta
 Inicial]]-Tabela2[[#This Row],[Proposta
 Negociada]]</f>
        <v>0</v>
      </c>
      <c r="Q932" s="4" t="e">
        <f>Tabela2[[#This Row],[Proposta
 Negociada]]/Tabela2[[#This Row],[Proposta
 Inicial]]-1</f>
        <v>#DIV/0!</v>
      </c>
      <c r="S932"/>
    </row>
    <row r="933" spans="1:19" ht="15" customHeight="1">
      <c r="A933" s="9"/>
      <c r="B933" s="9"/>
      <c r="C933" s="1">
        <f>Tabela2[[#This Row],[Data
Pedido]]-Tabela2[[#This Row],[Data Última Aprovação RC]]</f>
        <v>0</v>
      </c>
      <c r="J933" s="1" t="str">
        <f t="shared" ca="1" si="23"/>
        <v/>
      </c>
      <c r="K933" s="11">
        <f>Tabela2[[#This Row],[SLA
Padrão]]-Tabela2[[#This Row],[SLA Atendimento]]</f>
        <v>0</v>
      </c>
      <c r="L933" s="11"/>
      <c r="O933" s="1" t="s">
        <v>30</v>
      </c>
      <c r="P933" s="2">
        <f>Tabela2[[#This Row],[Proposta
 Inicial]]-Tabela2[[#This Row],[Proposta
 Negociada]]</f>
        <v>0</v>
      </c>
      <c r="Q933" s="4" t="e">
        <f>Tabela2[[#This Row],[Proposta
 Negociada]]/Tabela2[[#This Row],[Proposta
 Inicial]]-1</f>
        <v>#DIV/0!</v>
      </c>
      <c r="S933"/>
    </row>
    <row r="934" spans="1:19" ht="15" customHeight="1">
      <c r="A934" s="9"/>
      <c r="B934" s="9"/>
      <c r="C934" s="1">
        <f>Tabela2[[#This Row],[Data
Pedido]]-Tabela2[[#This Row],[Data Última Aprovação RC]]</f>
        <v>0</v>
      </c>
      <c r="J934" s="1" t="str">
        <f t="shared" ca="1" si="23"/>
        <v/>
      </c>
      <c r="K934" s="11">
        <f>Tabela2[[#This Row],[SLA
Padrão]]-Tabela2[[#This Row],[SLA Atendimento]]</f>
        <v>0</v>
      </c>
      <c r="L934" s="11"/>
      <c r="O934" s="1" t="s">
        <v>30</v>
      </c>
      <c r="P934" s="2">
        <f>Tabela2[[#This Row],[Proposta
 Inicial]]-Tabela2[[#This Row],[Proposta
 Negociada]]</f>
        <v>0</v>
      </c>
      <c r="Q934" s="4" t="e">
        <f>Tabela2[[#This Row],[Proposta
 Negociada]]/Tabela2[[#This Row],[Proposta
 Inicial]]-1</f>
        <v>#DIV/0!</v>
      </c>
      <c r="S934"/>
    </row>
    <row r="935" spans="1:19" ht="15" customHeight="1">
      <c r="A935" s="9"/>
      <c r="B935" s="9"/>
      <c r="C935" s="1">
        <f>Tabela2[[#This Row],[Data
Pedido]]-Tabela2[[#This Row],[Data Última Aprovação RC]]</f>
        <v>0</v>
      </c>
      <c r="J935" s="1" t="str">
        <f t="shared" ca="1" si="23"/>
        <v/>
      </c>
      <c r="K935" s="11">
        <f>Tabela2[[#This Row],[SLA
Padrão]]-Tabela2[[#This Row],[SLA Atendimento]]</f>
        <v>0</v>
      </c>
      <c r="L935" s="11"/>
      <c r="O935" s="1" t="s">
        <v>30</v>
      </c>
      <c r="P935" s="2">
        <f>Tabela2[[#This Row],[Proposta
 Inicial]]-Tabela2[[#This Row],[Proposta
 Negociada]]</f>
        <v>0</v>
      </c>
      <c r="Q935" s="4" t="e">
        <f>Tabela2[[#This Row],[Proposta
 Negociada]]/Tabela2[[#This Row],[Proposta
 Inicial]]-1</f>
        <v>#DIV/0!</v>
      </c>
      <c r="S935"/>
    </row>
    <row r="936" spans="1:19" ht="15" customHeight="1">
      <c r="A936" s="9"/>
      <c r="B936" s="9"/>
      <c r="C936" s="1">
        <f>Tabela2[[#This Row],[Data
Pedido]]-Tabela2[[#This Row],[Data Última Aprovação RC]]</f>
        <v>0</v>
      </c>
      <c r="J936" s="1" t="str">
        <f t="shared" ca="1" si="23"/>
        <v/>
      </c>
      <c r="K936" s="11">
        <f>Tabela2[[#This Row],[SLA
Padrão]]-Tabela2[[#This Row],[SLA Atendimento]]</f>
        <v>0</v>
      </c>
      <c r="L936" s="11"/>
      <c r="O936" s="1" t="s">
        <v>30</v>
      </c>
      <c r="P936" s="2">
        <f>Tabela2[[#This Row],[Proposta
 Inicial]]-Tabela2[[#This Row],[Proposta
 Negociada]]</f>
        <v>0</v>
      </c>
      <c r="Q936" s="4" t="e">
        <f>Tabela2[[#This Row],[Proposta
 Negociada]]/Tabela2[[#This Row],[Proposta
 Inicial]]-1</f>
        <v>#DIV/0!</v>
      </c>
      <c r="S936"/>
    </row>
    <row r="937" spans="1:19" ht="15" customHeight="1">
      <c r="A937" s="9"/>
      <c r="B937" s="9"/>
      <c r="C937" s="1">
        <f>Tabela2[[#This Row],[Data
Pedido]]-Tabela2[[#This Row],[Data Última Aprovação RC]]</f>
        <v>0</v>
      </c>
      <c r="J937" s="1" t="str">
        <f t="shared" ca="1" si="23"/>
        <v/>
      </c>
      <c r="K937" s="11">
        <f>Tabela2[[#This Row],[SLA
Padrão]]-Tabela2[[#This Row],[SLA Atendimento]]</f>
        <v>0</v>
      </c>
      <c r="L937" s="11"/>
      <c r="O937" s="1" t="s">
        <v>30</v>
      </c>
      <c r="P937" s="2">
        <f>Tabela2[[#This Row],[Proposta
 Inicial]]-Tabela2[[#This Row],[Proposta
 Negociada]]</f>
        <v>0</v>
      </c>
      <c r="Q937" s="4" t="e">
        <f>Tabela2[[#This Row],[Proposta
 Negociada]]/Tabela2[[#This Row],[Proposta
 Inicial]]-1</f>
        <v>#DIV/0!</v>
      </c>
      <c r="S937"/>
    </row>
    <row r="938" spans="1:19" ht="15" customHeight="1">
      <c r="A938" s="9"/>
      <c r="B938" s="9"/>
      <c r="C938" s="1">
        <f>Tabela2[[#This Row],[Data
Pedido]]-Tabela2[[#This Row],[Data Última Aprovação RC]]</f>
        <v>0</v>
      </c>
      <c r="J938" s="1" t="str">
        <f t="shared" ca="1" si="23"/>
        <v/>
      </c>
      <c r="K938" s="11">
        <f>Tabela2[[#This Row],[SLA
Padrão]]-Tabela2[[#This Row],[SLA Atendimento]]</f>
        <v>0</v>
      </c>
      <c r="L938" s="11"/>
      <c r="O938" s="1" t="s">
        <v>30</v>
      </c>
      <c r="P938" s="2">
        <f>Tabela2[[#This Row],[Proposta
 Inicial]]-Tabela2[[#This Row],[Proposta
 Negociada]]</f>
        <v>0</v>
      </c>
      <c r="Q938" s="4" t="e">
        <f>Tabela2[[#This Row],[Proposta
 Negociada]]/Tabela2[[#This Row],[Proposta
 Inicial]]-1</f>
        <v>#DIV/0!</v>
      </c>
      <c r="S938"/>
    </row>
    <row r="939" spans="1:19" ht="15" customHeight="1">
      <c r="A939" s="9"/>
      <c r="B939" s="9"/>
      <c r="C939" s="1">
        <f>Tabela2[[#This Row],[Data
Pedido]]-Tabela2[[#This Row],[Data Última Aprovação RC]]</f>
        <v>0</v>
      </c>
      <c r="J939" s="1" t="str">
        <f t="shared" ref="J939:J1002" ca="1" si="24">IF(A939="","",IF(B939="",IF(TODAY()-A939&gt;I939,"ATRASADA","EM ANDAMENTO"),IF(B939-A939&gt;I939,"ATRASADA","NO PRAZO")))</f>
        <v/>
      </c>
      <c r="K939" s="11">
        <f>Tabela2[[#This Row],[SLA
Padrão]]-Tabela2[[#This Row],[SLA Atendimento]]</f>
        <v>0</v>
      </c>
      <c r="L939" s="11"/>
      <c r="O939" s="1" t="s">
        <v>30</v>
      </c>
      <c r="P939" s="2">
        <f>Tabela2[[#This Row],[Proposta
 Inicial]]-Tabela2[[#This Row],[Proposta
 Negociada]]</f>
        <v>0</v>
      </c>
      <c r="Q939" s="4" t="e">
        <f>Tabela2[[#This Row],[Proposta
 Negociada]]/Tabela2[[#This Row],[Proposta
 Inicial]]-1</f>
        <v>#DIV/0!</v>
      </c>
      <c r="S939"/>
    </row>
    <row r="940" spans="1:19" ht="15" customHeight="1">
      <c r="A940" s="9"/>
      <c r="B940" s="9"/>
      <c r="C940" s="1">
        <f>Tabela2[[#This Row],[Data
Pedido]]-Tabela2[[#This Row],[Data Última Aprovação RC]]</f>
        <v>0</v>
      </c>
      <c r="J940" s="1" t="str">
        <f t="shared" ca="1" si="24"/>
        <v/>
      </c>
      <c r="K940" s="11">
        <f>Tabela2[[#This Row],[SLA
Padrão]]-Tabela2[[#This Row],[SLA Atendimento]]</f>
        <v>0</v>
      </c>
      <c r="L940" s="11"/>
      <c r="O940" s="1" t="s">
        <v>30</v>
      </c>
      <c r="P940" s="2">
        <f>Tabela2[[#This Row],[Proposta
 Inicial]]-Tabela2[[#This Row],[Proposta
 Negociada]]</f>
        <v>0</v>
      </c>
      <c r="Q940" s="4" t="e">
        <f>Tabela2[[#This Row],[Proposta
 Negociada]]/Tabela2[[#This Row],[Proposta
 Inicial]]-1</f>
        <v>#DIV/0!</v>
      </c>
      <c r="S940"/>
    </row>
    <row r="941" spans="1:19" ht="15" customHeight="1">
      <c r="A941" s="9"/>
      <c r="B941" s="9"/>
      <c r="C941" s="1">
        <f>Tabela2[[#This Row],[Data
Pedido]]-Tabela2[[#This Row],[Data Última Aprovação RC]]</f>
        <v>0</v>
      </c>
      <c r="J941" s="1" t="str">
        <f t="shared" ca="1" si="24"/>
        <v/>
      </c>
      <c r="K941" s="11">
        <f>Tabela2[[#This Row],[SLA
Padrão]]-Tabela2[[#This Row],[SLA Atendimento]]</f>
        <v>0</v>
      </c>
      <c r="L941" s="11"/>
      <c r="O941" s="1" t="s">
        <v>30</v>
      </c>
      <c r="P941" s="2">
        <f>Tabela2[[#This Row],[Proposta
 Inicial]]-Tabela2[[#This Row],[Proposta
 Negociada]]</f>
        <v>0</v>
      </c>
      <c r="Q941" s="4" t="e">
        <f>Tabela2[[#This Row],[Proposta
 Negociada]]/Tabela2[[#This Row],[Proposta
 Inicial]]-1</f>
        <v>#DIV/0!</v>
      </c>
      <c r="S941"/>
    </row>
    <row r="942" spans="1:19" ht="15" customHeight="1">
      <c r="A942" s="9"/>
      <c r="B942" s="9"/>
      <c r="C942" s="1">
        <f>Tabela2[[#This Row],[Data
Pedido]]-Tabela2[[#This Row],[Data Última Aprovação RC]]</f>
        <v>0</v>
      </c>
      <c r="J942" s="1" t="str">
        <f t="shared" ca="1" si="24"/>
        <v/>
      </c>
      <c r="K942" s="11">
        <f>Tabela2[[#This Row],[SLA
Padrão]]-Tabela2[[#This Row],[SLA Atendimento]]</f>
        <v>0</v>
      </c>
      <c r="L942" s="11"/>
      <c r="O942" s="1" t="s">
        <v>30</v>
      </c>
      <c r="P942" s="2">
        <f>Tabela2[[#This Row],[Proposta
 Inicial]]-Tabela2[[#This Row],[Proposta
 Negociada]]</f>
        <v>0</v>
      </c>
      <c r="Q942" s="4" t="e">
        <f>Tabela2[[#This Row],[Proposta
 Negociada]]/Tabela2[[#This Row],[Proposta
 Inicial]]-1</f>
        <v>#DIV/0!</v>
      </c>
      <c r="S942"/>
    </row>
    <row r="943" spans="1:19" ht="15" customHeight="1">
      <c r="A943" s="9"/>
      <c r="B943" s="9"/>
      <c r="C943" s="1">
        <f>Tabela2[[#This Row],[Data
Pedido]]-Tabela2[[#This Row],[Data Última Aprovação RC]]</f>
        <v>0</v>
      </c>
      <c r="J943" s="1" t="str">
        <f t="shared" ca="1" si="24"/>
        <v/>
      </c>
      <c r="K943" s="11">
        <f>Tabela2[[#This Row],[SLA
Padrão]]-Tabela2[[#This Row],[SLA Atendimento]]</f>
        <v>0</v>
      </c>
      <c r="L943" s="11"/>
      <c r="O943" s="1" t="s">
        <v>30</v>
      </c>
      <c r="P943" s="2">
        <f>Tabela2[[#This Row],[Proposta
 Inicial]]-Tabela2[[#This Row],[Proposta
 Negociada]]</f>
        <v>0</v>
      </c>
      <c r="Q943" s="4" t="e">
        <f>Tabela2[[#This Row],[Proposta
 Negociada]]/Tabela2[[#This Row],[Proposta
 Inicial]]-1</f>
        <v>#DIV/0!</v>
      </c>
      <c r="S943"/>
    </row>
    <row r="944" spans="1:19" ht="15" customHeight="1">
      <c r="A944" s="9"/>
      <c r="B944" s="9"/>
      <c r="C944" s="1">
        <f>Tabela2[[#This Row],[Data
Pedido]]-Tabela2[[#This Row],[Data Última Aprovação RC]]</f>
        <v>0</v>
      </c>
      <c r="J944" s="1" t="str">
        <f t="shared" ca="1" si="24"/>
        <v/>
      </c>
      <c r="K944" s="11">
        <f>Tabela2[[#This Row],[SLA
Padrão]]-Tabela2[[#This Row],[SLA Atendimento]]</f>
        <v>0</v>
      </c>
      <c r="L944" s="11"/>
      <c r="O944" s="1" t="s">
        <v>30</v>
      </c>
      <c r="P944" s="2">
        <f>Tabela2[[#This Row],[Proposta
 Inicial]]-Tabela2[[#This Row],[Proposta
 Negociada]]</f>
        <v>0</v>
      </c>
      <c r="Q944" s="4" t="e">
        <f>Tabela2[[#This Row],[Proposta
 Negociada]]/Tabela2[[#This Row],[Proposta
 Inicial]]-1</f>
        <v>#DIV/0!</v>
      </c>
      <c r="S944"/>
    </row>
    <row r="945" spans="1:19" ht="15" customHeight="1">
      <c r="A945" s="9"/>
      <c r="B945" s="9"/>
      <c r="C945" s="1">
        <f>Tabela2[[#This Row],[Data
Pedido]]-Tabela2[[#This Row],[Data Última Aprovação RC]]</f>
        <v>0</v>
      </c>
      <c r="J945" s="1" t="str">
        <f t="shared" ca="1" si="24"/>
        <v/>
      </c>
      <c r="K945" s="11">
        <f>Tabela2[[#This Row],[SLA
Padrão]]-Tabela2[[#This Row],[SLA Atendimento]]</f>
        <v>0</v>
      </c>
      <c r="L945" s="11"/>
      <c r="O945" s="1" t="s">
        <v>30</v>
      </c>
      <c r="P945" s="2">
        <f>Tabela2[[#This Row],[Proposta
 Inicial]]-Tabela2[[#This Row],[Proposta
 Negociada]]</f>
        <v>0</v>
      </c>
      <c r="Q945" s="4" t="e">
        <f>Tabela2[[#This Row],[Proposta
 Negociada]]/Tabela2[[#This Row],[Proposta
 Inicial]]-1</f>
        <v>#DIV/0!</v>
      </c>
      <c r="S945"/>
    </row>
    <row r="946" spans="1:19" ht="15" customHeight="1">
      <c r="A946" s="9"/>
      <c r="B946" s="9"/>
      <c r="C946" s="1">
        <f>Tabela2[[#This Row],[Data
Pedido]]-Tabela2[[#This Row],[Data Última Aprovação RC]]</f>
        <v>0</v>
      </c>
      <c r="J946" s="1" t="str">
        <f t="shared" ca="1" si="24"/>
        <v/>
      </c>
      <c r="K946" s="11">
        <f>Tabela2[[#This Row],[SLA
Padrão]]-Tabela2[[#This Row],[SLA Atendimento]]</f>
        <v>0</v>
      </c>
      <c r="L946" s="11"/>
      <c r="O946" s="1" t="s">
        <v>30</v>
      </c>
      <c r="P946" s="2">
        <f>Tabela2[[#This Row],[Proposta
 Inicial]]-Tabela2[[#This Row],[Proposta
 Negociada]]</f>
        <v>0</v>
      </c>
      <c r="Q946" s="4" t="e">
        <f>Tabela2[[#This Row],[Proposta
 Negociada]]/Tabela2[[#This Row],[Proposta
 Inicial]]-1</f>
        <v>#DIV/0!</v>
      </c>
      <c r="S946"/>
    </row>
    <row r="947" spans="1:19" ht="15" customHeight="1">
      <c r="A947" s="9"/>
      <c r="B947" s="9"/>
      <c r="C947" s="1">
        <f>Tabela2[[#This Row],[Data
Pedido]]-Tabela2[[#This Row],[Data Última Aprovação RC]]</f>
        <v>0</v>
      </c>
      <c r="J947" s="1" t="str">
        <f t="shared" ca="1" si="24"/>
        <v/>
      </c>
      <c r="K947" s="11">
        <f>Tabela2[[#This Row],[SLA
Padrão]]-Tabela2[[#This Row],[SLA Atendimento]]</f>
        <v>0</v>
      </c>
      <c r="L947" s="11"/>
      <c r="O947" s="1" t="s">
        <v>30</v>
      </c>
      <c r="P947" s="2">
        <f>Tabela2[[#This Row],[Proposta
 Inicial]]-Tabela2[[#This Row],[Proposta
 Negociada]]</f>
        <v>0</v>
      </c>
      <c r="Q947" s="4" t="e">
        <f>Tabela2[[#This Row],[Proposta
 Negociada]]/Tabela2[[#This Row],[Proposta
 Inicial]]-1</f>
        <v>#DIV/0!</v>
      </c>
      <c r="S947"/>
    </row>
    <row r="948" spans="1:19" ht="15" customHeight="1">
      <c r="A948" s="9"/>
      <c r="B948" s="9"/>
      <c r="C948" s="1">
        <f>Tabela2[[#This Row],[Data
Pedido]]-Tabela2[[#This Row],[Data Última Aprovação RC]]</f>
        <v>0</v>
      </c>
      <c r="J948" s="1" t="str">
        <f t="shared" ca="1" si="24"/>
        <v/>
      </c>
      <c r="K948" s="11">
        <f>Tabela2[[#This Row],[SLA
Padrão]]-Tabela2[[#This Row],[SLA Atendimento]]</f>
        <v>0</v>
      </c>
      <c r="L948" s="11"/>
      <c r="O948" s="1" t="s">
        <v>30</v>
      </c>
      <c r="P948" s="2">
        <f>Tabela2[[#This Row],[Proposta
 Inicial]]-Tabela2[[#This Row],[Proposta
 Negociada]]</f>
        <v>0</v>
      </c>
      <c r="Q948" s="4" t="e">
        <f>Tabela2[[#This Row],[Proposta
 Negociada]]/Tabela2[[#This Row],[Proposta
 Inicial]]-1</f>
        <v>#DIV/0!</v>
      </c>
      <c r="S948"/>
    </row>
    <row r="949" spans="1:19" ht="15" customHeight="1">
      <c r="A949" s="9"/>
      <c r="B949" s="9"/>
      <c r="C949" s="1">
        <f>Tabela2[[#This Row],[Data
Pedido]]-Tabela2[[#This Row],[Data Última Aprovação RC]]</f>
        <v>0</v>
      </c>
      <c r="J949" s="1" t="str">
        <f t="shared" ca="1" si="24"/>
        <v/>
      </c>
      <c r="K949" s="11">
        <f>Tabela2[[#This Row],[SLA
Padrão]]-Tabela2[[#This Row],[SLA Atendimento]]</f>
        <v>0</v>
      </c>
      <c r="L949" s="11"/>
      <c r="O949" s="1" t="s">
        <v>30</v>
      </c>
      <c r="P949" s="2">
        <f>Tabela2[[#This Row],[Proposta
 Inicial]]-Tabela2[[#This Row],[Proposta
 Negociada]]</f>
        <v>0</v>
      </c>
      <c r="Q949" s="4" t="e">
        <f>Tabela2[[#This Row],[Proposta
 Negociada]]/Tabela2[[#This Row],[Proposta
 Inicial]]-1</f>
        <v>#DIV/0!</v>
      </c>
      <c r="S949"/>
    </row>
    <row r="950" spans="1:19" ht="15" customHeight="1">
      <c r="A950" s="9"/>
      <c r="B950" s="9"/>
      <c r="C950" s="1">
        <f>Tabela2[[#This Row],[Data
Pedido]]-Tabela2[[#This Row],[Data Última Aprovação RC]]</f>
        <v>0</v>
      </c>
      <c r="J950" s="1" t="str">
        <f t="shared" ca="1" si="24"/>
        <v/>
      </c>
      <c r="K950" s="11">
        <f>Tabela2[[#This Row],[SLA
Padrão]]-Tabela2[[#This Row],[SLA Atendimento]]</f>
        <v>0</v>
      </c>
      <c r="L950" s="11"/>
      <c r="O950" s="1" t="s">
        <v>30</v>
      </c>
      <c r="P950" s="2">
        <f>Tabela2[[#This Row],[Proposta
 Inicial]]-Tabela2[[#This Row],[Proposta
 Negociada]]</f>
        <v>0</v>
      </c>
      <c r="Q950" s="4" t="e">
        <f>Tabela2[[#This Row],[Proposta
 Negociada]]/Tabela2[[#This Row],[Proposta
 Inicial]]-1</f>
        <v>#DIV/0!</v>
      </c>
      <c r="S950"/>
    </row>
    <row r="951" spans="1:19" ht="15" customHeight="1">
      <c r="A951" s="9"/>
      <c r="B951" s="9"/>
      <c r="C951" s="1">
        <f>Tabela2[[#This Row],[Data
Pedido]]-Tabela2[[#This Row],[Data Última Aprovação RC]]</f>
        <v>0</v>
      </c>
      <c r="J951" s="1" t="str">
        <f t="shared" ca="1" si="24"/>
        <v/>
      </c>
      <c r="K951" s="11">
        <f>Tabela2[[#This Row],[SLA
Padrão]]-Tabela2[[#This Row],[SLA Atendimento]]</f>
        <v>0</v>
      </c>
      <c r="L951" s="11"/>
      <c r="O951" s="1" t="s">
        <v>30</v>
      </c>
      <c r="P951" s="2">
        <f>Tabela2[[#This Row],[Proposta
 Inicial]]-Tabela2[[#This Row],[Proposta
 Negociada]]</f>
        <v>0</v>
      </c>
      <c r="Q951" s="4" t="e">
        <f>Tabela2[[#This Row],[Proposta
 Negociada]]/Tabela2[[#This Row],[Proposta
 Inicial]]-1</f>
        <v>#DIV/0!</v>
      </c>
      <c r="S951"/>
    </row>
    <row r="952" spans="1:19" ht="15" customHeight="1">
      <c r="A952" s="9"/>
      <c r="B952" s="9"/>
      <c r="C952" s="1">
        <f>Tabela2[[#This Row],[Data
Pedido]]-Tabela2[[#This Row],[Data Última Aprovação RC]]</f>
        <v>0</v>
      </c>
      <c r="J952" s="1" t="str">
        <f t="shared" ca="1" si="24"/>
        <v/>
      </c>
      <c r="K952" s="11">
        <f>Tabela2[[#This Row],[SLA
Padrão]]-Tabela2[[#This Row],[SLA Atendimento]]</f>
        <v>0</v>
      </c>
      <c r="L952" s="11"/>
      <c r="O952" s="1" t="s">
        <v>30</v>
      </c>
      <c r="P952" s="2">
        <f>Tabela2[[#This Row],[Proposta
 Inicial]]-Tabela2[[#This Row],[Proposta
 Negociada]]</f>
        <v>0</v>
      </c>
      <c r="Q952" s="4" t="e">
        <f>Tabela2[[#This Row],[Proposta
 Negociada]]/Tabela2[[#This Row],[Proposta
 Inicial]]-1</f>
        <v>#DIV/0!</v>
      </c>
      <c r="S952"/>
    </row>
    <row r="953" spans="1:19" ht="15" customHeight="1">
      <c r="A953" s="9"/>
      <c r="B953" s="9"/>
      <c r="C953" s="1">
        <f>Tabela2[[#This Row],[Data
Pedido]]-Tabela2[[#This Row],[Data Última Aprovação RC]]</f>
        <v>0</v>
      </c>
      <c r="J953" s="1" t="str">
        <f t="shared" ca="1" si="24"/>
        <v/>
      </c>
      <c r="K953" s="11">
        <f>Tabela2[[#This Row],[SLA
Padrão]]-Tabela2[[#This Row],[SLA Atendimento]]</f>
        <v>0</v>
      </c>
      <c r="L953" s="11"/>
      <c r="O953" s="1" t="s">
        <v>30</v>
      </c>
      <c r="P953" s="2">
        <f>Tabela2[[#This Row],[Proposta
 Inicial]]-Tabela2[[#This Row],[Proposta
 Negociada]]</f>
        <v>0</v>
      </c>
      <c r="Q953" s="4" t="e">
        <f>Tabela2[[#This Row],[Proposta
 Negociada]]/Tabela2[[#This Row],[Proposta
 Inicial]]-1</f>
        <v>#DIV/0!</v>
      </c>
      <c r="S953"/>
    </row>
    <row r="954" spans="1:19" ht="15" customHeight="1">
      <c r="A954" s="9"/>
      <c r="B954" s="9"/>
      <c r="C954" s="1">
        <f>Tabela2[[#This Row],[Data
Pedido]]-Tabela2[[#This Row],[Data Última Aprovação RC]]</f>
        <v>0</v>
      </c>
      <c r="J954" s="1" t="str">
        <f t="shared" ca="1" si="24"/>
        <v/>
      </c>
      <c r="K954" s="11">
        <f>Tabela2[[#This Row],[SLA
Padrão]]-Tabela2[[#This Row],[SLA Atendimento]]</f>
        <v>0</v>
      </c>
      <c r="L954" s="11"/>
      <c r="O954" s="1" t="s">
        <v>30</v>
      </c>
      <c r="P954" s="2">
        <f>Tabela2[[#This Row],[Proposta
 Inicial]]-Tabela2[[#This Row],[Proposta
 Negociada]]</f>
        <v>0</v>
      </c>
      <c r="Q954" s="4" t="e">
        <f>Tabela2[[#This Row],[Proposta
 Negociada]]/Tabela2[[#This Row],[Proposta
 Inicial]]-1</f>
        <v>#DIV/0!</v>
      </c>
      <c r="S954"/>
    </row>
    <row r="955" spans="1:19" ht="15" customHeight="1">
      <c r="A955" s="9"/>
      <c r="B955" s="9"/>
      <c r="C955" s="1">
        <f>Tabela2[[#This Row],[Data
Pedido]]-Tabela2[[#This Row],[Data Última Aprovação RC]]</f>
        <v>0</v>
      </c>
      <c r="J955" s="1" t="str">
        <f t="shared" ca="1" si="24"/>
        <v/>
      </c>
      <c r="K955" s="11">
        <f>Tabela2[[#This Row],[SLA
Padrão]]-Tabela2[[#This Row],[SLA Atendimento]]</f>
        <v>0</v>
      </c>
      <c r="L955" s="11"/>
      <c r="O955" s="1" t="s">
        <v>30</v>
      </c>
      <c r="P955" s="2">
        <f>Tabela2[[#This Row],[Proposta
 Inicial]]-Tabela2[[#This Row],[Proposta
 Negociada]]</f>
        <v>0</v>
      </c>
      <c r="Q955" s="4" t="e">
        <f>Tabela2[[#This Row],[Proposta
 Negociada]]/Tabela2[[#This Row],[Proposta
 Inicial]]-1</f>
        <v>#DIV/0!</v>
      </c>
      <c r="S955"/>
    </row>
    <row r="956" spans="1:19" ht="15" customHeight="1">
      <c r="A956" s="9"/>
      <c r="B956" s="9"/>
      <c r="C956" s="1">
        <f>Tabela2[[#This Row],[Data
Pedido]]-Tabela2[[#This Row],[Data Última Aprovação RC]]</f>
        <v>0</v>
      </c>
      <c r="J956" s="1" t="str">
        <f t="shared" ca="1" si="24"/>
        <v/>
      </c>
      <c r="K956" s="11">
        <f>Tabela2[[#This Row],[SLA
Padrão]]-Tabela2[[#This Row],[SLA Atendimento]]</f>
        <v>0</v>
      </c>
      <c r="L956" s="11"/>
      <c r="O956" s="1" t="s">
        <v>30</v>
      </c>
      <c r="P956" s="2">
        <f>Tabela2[[#This Row],[Proposta
 Inicial]]-Tabela2[[#This Row],[Proposta
 Negociada]]</f>
        <v>0</v>
      </c>
      <c r="Q956" s="4" t="e">
        <f>Tabela2[[#This Row],[Proposta
 Negociada]]/Tabela2[[#This Row],[Proposta
 Inicial]]-1</f>
        <v>#DIV/0!</v>
      </c>
      <c r="S956"/>
    </row>
    <row r="957" spans="1:19" ht="15" customHeight="1">
      <c r="A957" s="9"/>
      <c r="B957" s="9"/>
      <c r="C957" s="1">
        <f>Tabela2[[#This Row],[Data
Pedido]]-Tabela2[[#This Row],[Data Última Aprovação RC]]</f>
        <v>0</v>
      </c>
      <c r="J957" s="1" t="str">
        <f t="shared" ca="1" si="24"/>
        <v/>
      </c>
      <c r="K957" s="11">
        <f>Tabela2[[#This Row],[SLA
Padrão]]-Tabela2[[#This Row],[SLA Atendimento]]</f>
        <v>0</v>
      </c>
      <c r="L957" s="11"/>
      <c r="O957" s="1" t="s">
        <v>30</v>
      </c>
      <c r="P957" s="2">
        <f>Tabela2[[#This Row],[Proposta
 Inicial]]-Tabela2[[#This Row],[Proposta
 Negociada]]</f>
        <v>0</v>
      </c>
      <c r="Q957" s="4" t="e">
        <f>Tabela2[[#This Row],[Proposta
 Negociada]]/Tabela2[[#This Row],[Proposta
 Inicial]]-1</f>
        <v>#DIV/0!</v>
      </c>
      <c r="S957"/>
    </row>
    <row r="958" spans="1:19" ht="15" customHeight="1">
      <c r="A958" s="9"/>
      <c r="B958" s="9"/>
      <c r="C958" s="1">
        <f>Tabela2[[#This Row],[Data
Pedido]]-Tabela2[[#This Row],[Data Última Aprovação RC]]</f>
        <v>0</v>
      </c>
      <c r="J958" s="1" t="str">
        <f t="shared" ca="1" si="24"/>
        <v/>
      </c>
      <c r="K958" s="11">
        <f>Tabela2[[#This Row],[SLA
Padrão]]-Tabela2[[#This Row],[SLA Atendimento]]</f>
        <v>0</v>
      </c>
      <c r="L958" s="11"/>
      <c r="O958" s="1" t="s">
        <v>30</v>
      </c>
      <c r="P958" s="2">
        <f>Tabela2[[#This Row],[Proposta
 Inicial]]-Tabela2[[#This Row],[Proposta
 Negociada]]</f>
        <v>0</v>
      </c>
      <c r="Q958" s="4" t="e">
        <f>Tabela2[[#This Row],[Proposta
 Negociada]]/Tabela2[[#This Row],[Proposta
 Inicial]]-1</f>
        <v>#DIV/0!</v>
      </c>
      <c r="S958"/>
    </row>
    <row r="959" spans="1:19" ht="15" customHeight="1">
      <c r="A959" s="9"/>
      <c r="B959" s="9"/>
      <c r="C959" s="1">
        <f>Tabela2[[#This Row],[Data
Pedido]]-Tabela2[[#This Row],[Data Última Aprovação RC]]</f>
        <v>0</v>
      </c>
      <c r="J959" s="1" t="str">
        <f t="shared" ca="1" si="24"/>
        <v/>
      </c>
      <c r="K959" s="11">
        <f>Tabela2[[#This Row],[SLA
Padrão]]-Tabela2[[#This Row],[SLA Atendimento]]</f>
        <v>0</v>
      </c>
      <c r="L959" s="11"/>
      <c r="O959" s="1" t="s">
        <v>30</v>
      </c>
      <c r="P959" s="2">
        <f>Tabela2[[#This Row],[Proposta
 Inicial]]-Tabela2[[#This Row],[Proposta
 Negociada]]</f>
        <v>0</v>
      </c>
      <c r="Q959" s="4" t="e">
        <f>Tabela2[[#This Row],[Proposta
 Negociada]]/Tabela2[[#This Row],[Proposta
 Inicial]]-1</f>
        <v>#DIV/0!</v>
      </c>
      <c r="S959"/>
    </row>
    <row r="960" spans="1:19" ht="15" customHeight="1">
      <c r="A960" s="9"/>
      <c r="B960" s="9"/>
      <c r="C960" s="1">
        <f>Tabela2[[#This Row],[Data
Pedido]]-Tabela2[[#This Row],[Data Última Aprovação RC]]</f>
        <v>0</v>
      </c>
      <c r="J960" s="1" t="str">
        <f t="shared" ca="1" si="24"/>
        <v/>
      </c>
      <c r="K960" s="11">
        <f>Tabela2[[#This Row],[SLA
Padrão]]-Tabela2[[#This Row],[SLA Atendimento]]</f>
        <v>0</v>
      </c>
      <c r="L960" s="11"/>
      <c r="O960" s="1" t="s">
        <v>30</v>
      </c>
      <c r="P960" s="2">
        <f>Tabela2[[#This Row],[Proposta
 Inicial]]-Tabela2[[#This Row],[Proposta
 Negociada]]</f>
        <v>0</v>
      </c>
      <c r="Q960" s="4" t="e">
        <f>Tabela2[[#This Row],[Proposta
 Negociada]]/Tabela2[[#This Row],[Proposta
 Inicial]]-1</f>
        <v>#DIV/0!</v>
      </c>
      <c r="S960"/>
    </row>
    <row r="961" spans="1:19" ht="15" customHeight="1">
      <c r="A961" s="9"/>
      <c r="B961" s="9"/>
      <c r="C961" s="1">
        <f>Tabela2[[#This Row],[Data
Pedido]]-Tabela2[[#This Row],[Data Última Aprovação RC]]</f>
        <v>0</v>
      </c>
      <c r="J961" s="1" t="str">
        <f t="shared" ca="1" si="24"/>
        <v/>
      </c>
      <c r="K961" s="11">
        <f>Tabela2[[#This Row],[SLA
Padrão]]-Tabela2[[#This Row],[SLA Atendimento]]</f>
        <v>0</v>
      </c>
      <c r="L961" s="11"/>
      <c r="O961" s="1" t="s">
        <v>30</v>
      </c>
      <c r="P961" s="2">
        <f>Tabela2[[#This Row],[Proposta
 Inicial]]-Tabela2[[#This Row],[Proposta
 Negociada]]</f>
        <v>0</v>
      </c>
      <c r="Q961" s="4" t="e">
        <f>Tabela2[[#This Row],[Proposta
 Negociada]]/Tabela2[[#This Row],[Proposta
 Inicial]]-1</f>
        <v>#DIV/0!</v>
      </c>
      <c r="S961"/>
    </row>
    <row r="962" spans="1:19" ht="15" customHeight="1">
      <c r="A962" s="9"/>
      <c r="B962" s="9"/>
      <c r="C962" s="1">
        <f>Tabela2[[#This Row],[Data
Pedido]]-Tabela2[[#This Row],[Data Última Aprovação RC]]</f>
        <v>0</v>
      </c>
      <c r="J962" s="1" t="str">
        <f t="shared" ca="1" si="24"/>
        <v/>
      </c>
      <c r="K962" s="11">
        <f>Tabela2[[#This Row],[SLA
Padrão]]-Tabela2[[#This Row],[SLA Atendimento]]</f>
        <v>0</v>
      </c>
      <c r="L962" s="11"/>
      <c r="O962" s="1" t="s">
        <v>30</v>
      </c>
      <c r="P962" s="2">
        <f>Tabela2[[#This Row],[Proposta
 Inicial]]-Tabela2[[#This Row],[Proposta
 Negociada]]</f>
        <v>0</v>
      </c>
      <c r="Q962" s="4" t="e">
        <f>Tabela2[[#This Row],[Proposta
 Negociada]]/Tabela2[[#This Row],[Proposta
 Inicial]]-1</f>
        <v>#DIV/0!</v>
      </c>
      <c r="S962"/>
    </row>
    <row r="963" spans="1:19" ht="15" customHeight="1">
      <c r="A963" s="9"/>
      <c r="B963" s="9"/>
      <c r="C963" s="1">
        <f>Tabela2[[#This Row],[Data
Pedido]]-Tabela2[[#This Row],[Data Última Aprovação RC]]</f>
        <v>0</v>
      </c>
      <c r="J963" s="1" t="str">
        <f t="shared" ca="1" si="24"/>
        <v/>
      </c>
      <c r="K963" s="11">
        <f>Tabela2[[#This Row],[SLA
Padrão]]-Tabela2[[#This Row],[SLA Atendimento]]</f>
        <v>0</v>
      </c>
      <c r="L963" s="11"/>
      <c r="O963" s="1" t="s">
        <v>30</v>
      </c>
      <c r="P963" s="2">
        <f>Tabela2[[#This Row],[Proposta
 Inicial]]-Tabela2[[#This Row],[Proposta
 Negociada]]</f>
        <v>0</v>
      </c>
      <c r="Q963" s="4" t="e">
        <f>Tabela2[[#This Row],[Proposta
 Negociada]]/Tabela2[[#This Row],[Proposta
 Inicial]]-1</f>
        <v>#DIV/0!</v>
      </c>
      <c r="S963"/>
    </row>
    <row r="964" spans="1:19" ht="15" customHeight="1">
      <c r="A964" s="9"/>
      <c r="B964" s="9"/>
      <c r="C964" s="1">
        <f>Tabela2[[#This Row],[Data
Pedido]]-Tabela2[[#This Row],[Data Última Aprovação RC]]</f>
        <v>0</v>
      </c>
      <c r="J964" s="1" t="str">
        <f t="shared" ca="1" si="24"/>
        <v/>
      </c>
      <c r="K964" s="11">
        <f>Tabela2[[#This Row],[SLA
Padrão]]-Tabela2[[#This Row],[SLA Atendimento]]</f>
        <v>0</v>
      </c>
      <c r="L964" s="11"/>
      <c r="O964" s="1" t="s">
        <v>30</v>
      </c>
      <c r="P964" s="2">
        <f>Tabela2[[#This Row],[Proposta
 Inicial]]-Tabela2[[#This Row],[Proposta
 Negociada]]</f>
        <v>0</v>
      </c>
      <c r="Q964" s="4" t="e">
        <f>Tabela2[[#This Row],[Proposta
 Negociada]]/Tabela2[[#This Row],[Proposta
 Inicial]]-1</f>
        <v>#DIV/0!</v>
      </c>
      <c r="S964"/>
    </row>
    <row r="965" spans="1:19" ht="15" customHeight="1">
      <c r="A965" s="9"/>
      <c r="B965" s="9"/>
      <c r="C965" s="1">
        <f>Tabela2[[#This Row],[Data
Pedido]]-Tabela2[[#This Row],[Data Última Aprovação RC]]</f>
        <v>0</v>
      </c>
      <c r="J965" s="1" t="str">
        <f t="shared" ca="1" si="24"/>
        <v/>
      </c>
      <c r="K965" s="11">
        <f>Tabela2[[#This Row],[SLA
Padrão]]-Tabela2[[#This Row],[SLA Atendimento]]</f>
        <v>0</v>
      </c>
      <c r="L965" s="11"/>
      <c r="O965" s="1" t="s">
        <v>30</v>
      </c>
      <c r="P965" s="2">
        <f>Tabela2[[#This Row],[Proposta
 Inicial]]-Tabela2[[#This Row],[Proposta
 Negociada]]</f>
        <v>0</v>
      </c>
      <c r="Q965" s="4" t="e">
        <f>Tabela2[[#This Row],[Proposta
 Negociada]]/Tabela2[[#This Row],[Proposta
 Inicial]]-1</f>
        <v>#DIV/0!</v>
      </c>
      <c r="S965"/>
    </row>
    <row r="966" spans="1:19" ht="15" customHeight="1">
      <c r="A966" s="9"/>
      <c r="B966" s="9"/>
      <c r="C966" s="1">
        <f>Tabela2[[#This Row],[Data
Pedido]]-Tabela2[[#This Row],[Data Última Aprovação RC]]</f>
        <v>0</v>
      </c>
      <c r="J966" s="1" t="str">
        <f t="shared" ca="1" si="24"/>
        <v/>
      </c>
      <c r="K966" s="11">
        <f>Tabela2[[#This Row],[SLA
Padrão]]-Tabela2[[#This Row],[SLA Atendimento]]</f>
        <v>0</v>
      </c>
      <c r="L966" s="11"/>
      <c r="O966" s="1" t="s">
        <v>30</v>
      </c>
      <c r="P966" s="2">
        <f>Tabela2[[#This Row],[Proposta
 Inicial]]-Tabela2[[#This Row],[Proposta
 Negociada]]</f>
        <v>0</v>
      </c>
      <c r="Q966" s="4" t="e">
        <f>Tabela2[[#This Row],[Proposta
 Negociada]]/Tabela2[[#This Row],[Proposta
 Inicial]]-1</f>
        <v>#DIV/0!</v>
      </c>
      <c r="S966"/>
    </row>
    <row r="967" spans="1:19" ht="15" customHeight="1">
      <c r="A967" s="9"/>
      <c r="B967" s="9"/>
      <c r="C967" s="1">
        <f>Tabela2[[#This Row],[Data
Pedido]]-Tabela2[[#This Row],[Data Última Aprovação RC]]</f>
        <v>0</v>
      </c>
      <c r="J967" s="1" t="str">
        <f t="shared" ca="1" si="24"/>
        <v/>
      </c>
      <c r="K967" s="11">
        <f>Tabela2[[#This Row],[SLA
Padrão]]-Tabela2[[#This Row],[SLA Atendimento]]</f>
        <v>0</v>
      </c>
      <c r="L967" s="11"/>
      <c r="O967" s="1" t="s">
        <v>30</v>
      </c>
      <c r="P967" s="2">
        <f>Tabela2[[#This Row],[Proposta
 Inicial]]-Tabela2[[#This Row],[Proposta
 Negociada]]</f>
        <v>0</v>
      </c>
      <c r="Q967" s="4" t="e">
        <f>Tabela2[[#This Row],[Proposta
 Negociada]]/Tabela2[[#This Row],[Proposta
 Inicial]]-1</f>
        <v>#DIV/0!</v>
      </c>
      <c r="S967"/>
    </row>
    <row r="968" spans="1:19" ht="15" customHeight="1">
      <c r="A968" s="9"/>
      <c r="B968" s="9"/>
      <c r="C968" s="1">
        <f>Tabela2[[#This Row],[Data
Pedido]]-Tabela2[[#This Row],[Data Última Aprovação RC]]</f>
        <v>0</v>
      </c>
      <c r="J968" s="1" t="str">
        <f t="shared" ca="1" si="24"/>
        <v/>
      </c>
      <c r="K968" s="11">
        <f>Tabela2[[#This Row],[SLA
Padrão]]-Tabela2[[#This Row],[SLA Atendimento]]</f>
        <v>0</v>
      </c>
      <c r="L968" s="11"/>
      <c r="O968" s="1" t="s">
        <v>30</v>
      </c>
      <c r="P968" s="2">
        <f>Tabela2[[#This Row],[Proposta
 Inicial]]-Tabela2[[#This Row],[Proposta
 Negociada]]</f>
        <v>0</v>
      </c>
      <c r="Q968" s="4" t="e">
        <f>Tabela2[[#This Row],[Proposta
 Negociada]]/Tabela2[[#This Row],[Proposta
 Inicial]]-1</f>
        <v>#DIV/0!</v>
      </c>
      <c r="S968"/>
    </row>
    <row r="969" spans="1:19" ht="15" customHeight="1">
      <c r="A969" s="9"/>
      <c r="B969" s="9"/>
      <c r="C969" s="1">
        <f>Tabela2[[#This Row],[Data
Pedido]]-Tabela2[[#This Row],[Data Última Aprovação RC]]</f>
        <v>0</v>
      </c>
      <c r="J969" s="1" t="str">
        <f t="shared" ca="1" si="24"/>
        <v/>
      </c>
      <c r="K969" s="11">
        <f>Tabela2[[#This Row],[SLA
Padrão]]-Tabela2[[#This Row],[SLA Atendimento]]</f>
        <v>0</v>
      </c>
      <c r="L969" s="11"/>
      <c r="O969" s="1" t="s">
        <v>30</v>
      </c>
      <c r="P969" s="2">
        <f>Tabela2[[#This Row],[Proposta
 Inicial]]-Tabela2[[#This Row],[Proposta
 Negociada]]</f>
        <v>0</v>
      </c>
      <c r="Q969" s="4" t="e">
        <f>Tabela2[[#This Row],[Proposta
 Negociada]]/Tabela2[[#This Row],[Proposta
 Inicial]]-1</f>
        <v>#DIV/0!</v>
      </c>
      <c r="S969"/>
    </row>
    <row r="970" spans="1:19" ht="15" customHeight="1">
      <c r="A970" s="9"/>
      <c r="B970" s="9"/>
      <c r="C970" s="1">
        <f>Tabela2[[#This Row],[Data
Pedido]]-Tabela2[[#This Row],[Data Última Aprovação RC]]</f>
        <v>0</v>
      </c>
      <c r="J970" s="1" t="str">
        <f t="shared" ca="1" si="24"/>
        <v/>
      </c>
      <c r="K970" s="11">
        <f>Tabela2[[#This Row],[SLA
Padrão]]-Tabela2[[#This Row],[SLA Atendimento]]</f>
        <v>0</v>
      </c>
      <c r="L970" s="11"/>
      <c r="O970" s="1" t="s">
        <v>30</v>
      </c>
      <c r="P970" s="2">
        <f>Tabela2[[#This Row],[Proposta
 Inicial]]-Tabela2[[#This Row],[Proposta
 Negociada]]</f>
        <v>0</v>
      </c>
      <c r="Q970" s="4" t="e">
        <f>Tabela2[[#This Row],[Proposta
 Negociada]]/Tabela2[[#This Row],[Proposta
 Inicial]]-1</f>
        <v>#DIV/0!</v>
      </c>
      <c r="S970"/>
    </row>
    <row r="971" spans="1:19" ht="15" customHeight="1">
      <c r="A971" s="9"/>
      <c r="B971" s="9"/>
      <c r="C971" s="1">
        <f>Tabela2[[#This Row],[Data
Pedido]]-Tabela2[[#This Row],[Data Última Aprovação RC]]</f>
        <v>0</v>
      </c>
      <c r="J971" s="1" t="str">
        <f t="shared" ca="1" si="24"/>
        <v/>
      </c>
      <c r="K971" s="11">
        <f>Tabela2[[#This Row],[SLA
Padrão]]-Tabela2[[#This Row],[SLA Atendimento]]</f>
        <v>0</v>
      </c>
      <c r="L971" s="11"/>
      <c r="O971" s="1" t="s">
        <v>30</v>
      </c>
      <c r="P971" s="2">
        <f>Tabela2[[#This Row],[Proposta
 Inicial]]-Tabela2[[#This Row],[Proposta
 Negociada]]</f>
        <v>0</v>
      </c>
      <c r="Q971" s="4" t="e">
        <f>Tabela2[[#This Row],[Proposta
 Negociada]]/Tabela2[[#This Row],[Proposta
 Inicial]]-1</f>
        <v>#DIV/0!</v>
      </c>
      <c r="S971"/>
    </row>
    <row r="972" spans="1:19" ht="15" customHeight="1">
      <c r="A972" s="9"/>
      <c r="B972" s="9"/>
      <c r="C972" s="1">
        <f>Tabela2[[#This Row],[Data
Pedido]]-Tabela2[[#This Row],[Data Última Aprovação RC]]</f>
        <v>0</v>
      </c>
      <c r="J972" s="1" t="str">
        <f t="shared" ca="1" si="24"/>
        <v/>
      </c>
      <c r="K972" s="11">
        <f>Tabela2[[#This Row],[SLA
Padrão]]-Tabela2[[#This Row],[SLA Atendimento]]</f>
        <v>0</v>
      </c>
      <c r="L972" s="11"/>
      <c r="O972" s="1" t="s">
        <v>30</v>
      </c>
      <c r="P972" s="2">
        <f>Tabela2[[#This Row],[Proposta
 Inicial]]-Tabela2[[#This Row],[Proposta
 Negociada]]</f>
        <v>0</v>
      </c>
      <c r="Q972" s="4" t="e">
        <f>Tabela2[[#This Row],[Proposta
 Negociada]]/Tabela2[[#This Row],[Proposta
 Inicial]]-1</f>
        <v>#DIV/0!</v>
      </c>
      <c r="S972"/>
    </row>
    <row r="973" spans="1:19" ht="15" customHeight="1">
      <c r="A973" s="9"/>
      <c r="B973" s="9"/>
      <c r="C973" s="1">
        <f>Tabela2[[#This Row],[Data
Pedido]]-Tabela2[[#This Row],[Data Última Aprovação RC]]</f>
        <v>0</v>
      </c>
      <c r="J973" s="1" t="str">
        <f t="shared" ca="1" si="24"/>
        <v/>
      </c>
      <c r="K973" s="11">
        <f>Tabela2[[#This Row],[SLA
Padrão]]-Tabela2[[#This Row],[SLA Atendimento]]</f>
        <v>0</v>
      </c>
      <c r="L973" s="11"/>
      <c r="O973" s="1" t="s">
        <v>30</v>
      </c>
      <c r="P973" s="2">
        <f>Tabela2[[#This Row],[Proposta
 Inicial]]-Tabela2[[#This Row],[Proposta
 Negociada]]</f>
        <v>0</v>
      </c>
      <c r="Q973" s="4" t="e">
        <f>Tabela2[[#This Row],[Proposta
 Negociada]]/Tabela2[[#This Row],[Proposta
 Inicial]]-1</f>
        <v>#DIV/0!</v>
      </c>
      <c r="S973"/>
    </row>
    <row r="974" spans="1:19" ht="15" customHeight="1">
      <c r="A974" s="9"/>
      <c r="B974" s="9"/>
      <c r="C974" s="1">
        <f>Tabela2[[#This Row],[Data
Pedido]]-Tabela2[[#This Row],[Data Última Aprovação RC]]</f>
        <v>0</v>
      </c>
      <c r="J974" s="1" t="str">
        <f t="shared" ca="1" si="24"/>
        <v/>
      </c>
      <c r="K974" s="11">
        <f>Tabela2[[#This Row],[SLA
Padrão]]-Tabela2[[#This Row],[SLA Atendimento]]</f>
        <v>0</v>
      </c>
      <c r="L974" s="11"/>
      <c r="O974" s="1" t="s">
        <v>30</v>
      </c>
      <c r="P974" s="2">
        <f>Tabela2[[#This Row],[Proposta
 Inicial]]-Tabela2[[#This Row],[Proposta
 Negociada]]</f>
        <v>0</v>
      </c>
      <c r="Q974" s="4" t="e">
        <f>Tabela2[[#This Row],[Proposta
 Negociada]]/Tabela2[[#This Row],[Proposta
 Inicial]]-1</f>
        <v>#DIV/0!</v>
      </c>
      <c r="S974"/>
    </row>
    <row r="975" spans="1:19" ht="15" customHeight="1">
      <c r="A975" s="9"/>
      <c r="B975" s="9"/>
      <c r="C975" s="1">
        <f>Tabela2[[#This Row],[Data
Pedido]]-Tabela2[[#This Row],[Data Última Aprovação RC]]</f>
        <v>0</v>
      </c>
      <c r="J975" s="1" t="str">
        <f t="shared" ca="1" si="24"/>
        <v/>
      </c>
      <c r="K975" s="11">
        <f>Tabela2[[#This Row],[SLA
Padrão]]-Tabela2[[#This Row],[SLA Atendimento]]</f>
        <v>0</v>
      </c>
      <c r="L975" s="11"/>
      <c r="O975" s="1" t="s">
        <v>30</v>
      </c>
      <c r="P975" s="2">
        <f>Tabela2[[#This Row],[Proposta
 Inicial]]-Tabela2[[#This Row],[Proposta
 Negociada]]</f>
        <v>0</v>
      </c>
      <c r="Q975" s="4" t="e">
        <f>Tabela2[[#This Row],[Proposta
 Negociada]]/Tabela2[[#This Row],[Proposta
 Inicial]]-1</f>
        <v>#DIV/0!</v>
      </c>
      <c r="S975"/>
    </row>
    <row r="976" spans="1:19" ht="15" customHeight="1">
      <c r="A976" s="9"/>
      <c r="B976" s="9"/>
      <c r="C976" s="1">
        <f>Tabela2[[#This Row],[Data
Pedido]]-Tabela2[[#This Row],[Data Última Aprovação RC]]</f>
        <v>0</v>
      </c>
      <c r="J976" s="1" t="str">
        <f t="shared" ca="1" si="24"/>
        <v/>
      </c>
      <c r="K976" s="11">
        <f>Tabela2[[#This Row],[SLA
Padrão]]-Tabela2[[#This Row],[SLA Atendimento]]</f>
        <v>0</v>
      </c>
      <c r="L976" s="11"/>
      <c r="O976" s="1" t="s">
        <v>30</v>
      </c>
      <c r="P976" s="2">
        <f>Tabela2[[#This Row],[Proposta
 Inicial]]-Tabela2[[#This Row],[Proposta
 Negociada]]</f>
        <v>0</v>
      </c>
      <c r="Q976" s="4" t="e">
        <f>Tabela2[[#This Row],[Proposta
 Negociada]]/Tabela2[[#This Row],[Proposta
 Inicial]]-1</f>
        <v>#DIV/0!</v>
      </c>
      <c r="S976"/>
    </row>
    <row r="977" spans="1:19" ht="15" customHeight="1">
      <c r="A977" s="9"/>
      <c r="B977" s="9"/>
      <c r="C977" s="1">
        <f>Tabela2[[#This Row],[Data
Pedido]]-Tabela2[[#This Row],[Data Última Aprovação RC]]</f>
        <v>0</v>
      </c>
      <c r="J977" s="1" t="str">
        <f t="shared" ca="1" si="24"/>
        <v/>
      </c>
      <c r="K977" s="11">
        <f>Tabela2[[#This Row],[SLA
Padrão]]-Tabela2[[#This Row],[SLA Atendimento]]</f>
        <v>0</v>
      </c>
      <c r="L977" s="11"/>
      <c r="O977" s="1" t="s">
        <v>30</v>
      </c>
      <c r="P977" s="2">
        <f>Tabela2[[#This Row],[Proposta
 Inicial]]-Tabela2[[#This Row],[Proposta
 Negociada]]</f>
        <v>0</v>
      </c>
      <c r="Q977" s="4" t="e">
        <f>Tabela2[[#This Row],[Proposta
 Negociada]]/Tabela2[[#This Row],[Proposta
 Inicial]]-1</f>
        <v>#DIV/0!</v>
      </c>
      <c r="S977"/>
    </row>
    <row r="978" spans="1:19" ht="15" customHeight="1">
      <c r="A978" s="9"/>
      <c r="B978" s="9"/>
      <c r="C978" s="1">
        <f>Tabela2[[#This Row],[Data
Pedido]]-Tabela2[[#This Row],[Data Última Aprovação RC]]</f>
        <v>0</v>
      </c>
      <c r="J978" s="1" t="str">
        <f t="shared" ca="1" si="24"/>
        <v/>
      </c>
      <c r="K978" s="11">
        <f>Tabela2[[#This Row],[SLA
Padrão]]-Tabela2[[#This Row],[SLA Atendimento]]</f>
        <v>0</v>
      </c>
      <c r="L978" s="11"/>
      <c r="O978" s="1" t="s">
        <v>30</v>
      </c>
      <c r="P978" s="2">
        <f>Tabela2[[#This Row],[Proposta
 Inicial]]-Tabela2[[#This Row],[Proposta
 Negociada]]</f>
        <v>0</v>
      </c>
      <c r="Q978" s="4" t="e">
        <f>Tabela2[[#This Row],[Proposta
 Negociada]]/Tabela2[[#This Row],[Proposta
 Inicial]]-1</f>
        <v>#DIV/0!</v>
      </c>
      <c r="S978"/>
    </row>
    <row r="979" spans="1:19" ht="15" customHeight="1">
      <c r="A979" s="9"/>
      <c r="B979" s="9"/>
      <c r="C979" s="1">
        <f>Tabela2[[#This Row],[Data
Pedido]]-Tabela2[[#This Row],[Data Última Aprovação RC]]</f>
        <v>0</v>
      </c>
      <c r="J979" s="1" t="str">
        <f t="shared" ca="1" si="24"/>
        <v/>
      </c>
      <c r="K979" s="11">
        <f>Tabela2[[#This Row],[SLA
Padrão]]-Tabela2[[#This Row],[SLA Atendimento]]</f>
        <v>0</v>
      </c>
      <c r="L979" s="11"/>
      <c r="O979" s="1" t="s">
        <v>30</v>
      </c>
      <c r="P979" s="2">
        <f>Tabela2[[#This Row],[Proposta
 Inicial]]-Tabela2[[#This Row],[Proposta
 Negociada]]</f>
        <v>0</v>
      </c>
      <c r="Q979" s="4" t="e">
        <f>Tabela2[[#This Row],[Proposta
 Negociada]]/Tabela2[[#This Row],[Proposta
 Inicial]]-1</f>
        <v>#DIV/0!</v>
      </c>
      <c r="S979"/>
    </row>
    <row r="980" spans="1:19" ht="15" customHeight="1">
      <c r="A980" s="9"/>
      <c r="B980" s="9"/>
      <c r="C980" s="1">
        <f>Tabela2[[#This Row],[Data
Pedido]]-Tabela2[[#This Row],[Data Última Aprovação RC]]</f>
        <v>0</v>
      </c>
      <c r="J980" s="1" t="str">
        <f t="shared" ca="1" si="24"/>
        <v/>
      </c>
      <c r="K980" s="11">
        <f>Tabela2[[#This Row],[SLA
Padrão]]-Tabela2[[#This Row],[SLA Atendimento]]</f>
        <v>0</v>
      </c>
      <c r="L980" s="11"/>
      <c r="O980" s="1" t="s">
        <v>30</v>
      </c>
      <c r="P980" s="2">
        <f>Tabela2[[#This Row],[Proposta
 Inicial]]-Tabela2[[#This Row],[Proposta
 Negociada]]</f>
        <v>0</v>
      </c>
      <c r="Q980" s="4" t="e">
        <f>Tabela2[[#This Row],[Proposta
 Negociada]]/Tabela2[[#This Row],[Proposta
 Inicial]]-1</f>
        <v>#DIV/0!</v>
      </c>
      <c r="S980"/>
    </row>
    <row r="981" spans="1:19" ht="15" customHeight="1">
      <c r="A981" s="9"/>
      <c r="B981" s="9"/>
      <c r="C981" s="1">
        <f>Tabela2[[#This Row],[Data
Pedido]]-Tabela2[[#This Row],[Data Última Aprovação RC]]</f>
        <v>0</v>
      </c>
      <c r="J981" s="1" t="str">
        <f t="shared" ca="1" si="24"/>
        <v/>
      </c>
      <c r="K981" s="11">
        <f>Tabela2[[#This Row],[SLA
Padrão]]-Tabela2[[#This Row],[SLA Atendimento]]</f>
        <v>0</v>
      </c>
      <c r="L981" s="11"/>
      <c r="O981" s="1" t="s">
        <v>30</v>
      </c>
      <c r="P981" s="2">
        <f>Tabela2[[#This Row],[Proposta
 Inicial]]-Tabela2[[#This Row],[Proposta
 Negociada]]</f>
        <v>0</v>
      </c>
      <c r="Q981" s="4" t="e">
        <f>Tabela2[[#This Row],[Proposta
 Negociada]]/Tabela2[[#This Row],[Proposta
 Inicial]]-1</f>
        <v>#DIV/0!</v>
      </c>
      <c r="S981"/>
    </row>
    <row r="982" spans="1:19" ht="15" customHeight="1">
      <c r="A982" s="9"/>
      <c r="B982" s="9"/>
      <c r="C982" s="1">
        <f>Tabela2[[#This Row],[Data
Pedido]]-Tabela2[[#This Row],[Data Última Aprovação RC]]</f>
        <v>0</v>
      </c>
      <c r="J982" s="1" t="str">
        <f t="shared" ca="1" si="24"/>
        <v/>
      </c>
      <c r="K982" s="11">
        <f>Tabela2[[#This Row],[SLA
Padrão]]-Tabela2[[#This Row],[SLA Atendimento]]</f>
        <v>0</v>
      </c>
      <c r="L982" s="11"/>
      <c r="O982" s="1" t="s">
        <v>30</v>
      </c>
      <c r="P982" s="2">
        <f>Tabela2[[#This Row],[Proposta
 Inicial]]-Tabela2[[#This Row],[Proposta
 Negociada]]</f>
        <v>0</v>
      </c>
      <c r="Q982" s="4" t="e">
        <f>Tabela2[[#This Row],[Proposta
 Negociada]]/Tabela2[[#This Row],[Proposta
 Inicial]]-1</f>
        <v>#DIV/0!</v>
      </c>
      <c r="S982"/>
    </row>
    <row r="983" spans="1:19" ht="15" customHeight="1">
      <c r="A983" s="9"/>
      <c r="B983" s="9"/>
      <c r="C983" s="1">
        <f>Tabela2[[#This Row],[Data
Pedido]]-Tabela2[[#This Row],[Data Última Aprovação RC]]</f>
        <v>0</v>
      </c>
      <c r="J983" s="1" t="str">
        <f t="shared" ca="1" si="24"/>
        <v/>
      </c>
      <c r="K983" s="11">
        <f>Tabela2[[#This Row],[SLA
Padrão]]-Tabela2[[#This Row],[SLA Atendimento]]</f>
        <v>0</v>
      </c>
      <c r="L983" s="11"/>
      <c r="O983" s="1" t="s">
        <v>30</v>
      </c>
      <c r="P983" s="2">
        <f>Tabela2[[#This Row],[Proposta
 Inicial]]-Tabela2[[#This Row],[Proposta
 Negociada]]</f>
        <v>0</v>
      </c>
      <c r="Q983" s="4" t="e">
        <f>Tabela2[[#This Row],[Proposta
 Negociada]]/Tabela2[[#This Row],[Proposta
 Inicial]]-1</f>
        <v>#DIV/0!</v>
      </c>
      <c r="S983"/>
    </row>
    <row r="984" spans="1:19" ht="15" customHeight="1">
      <c r="A984" s="9"/>
      <c r="B984" s="9"/>
      <c r="C984" s="1">
        <f>Tabela2[[#This Row],[Data
Pedido]]-Tabela2[[#This Row],[Data Última Aprovação RC]]</f>
        <v>0</v>
      </c>
      <c r="J984" s="1" t="str">
        <f t="shared" ca="1" si="24"/>
        <v/>
      </c>
      <c r="K984" s="11">
        <f>Tabela2[[#This Row],[SLA
Padrão]]-Tabela2[[#This Row],[SLA Atendimento]]</f>
        <v>0</v>
      </c>
      <c r="L984" s="11"/>
      <c r="O984" s="1" t="s">
        <v>30</v>
      </c>
      <c r="P984" s="2">
        <f>Tabela2[[#This Row],[Proposta
 Inicial]]-Tabela2[[#This Row],[Proposta
 Negociada]]</f>
        <v>0</v>
      </c>
      <c r="Q984" s="4" t="e">
        <f>Tabela2[[#This Row],[Proposta
 Negociada]]/Tabela2[[#This Row],[Proposta
 Inicial]]-1</f>
        <v>#DIV/0!</v>
      </c>
      <c r="S984"/>
    </row>
    <row r="985" spans="1:19" ht="15" customHeight="1">
      <c r="A985" s="9"/>
      <c r="B985" s="9"/>
      <c r="C985" s="1">
        <f>Tabela2[[#This Row],[Data
Pedido]]-Tabela2[[#This Row],[Data Última Aprovação RC]]</f>
        <v>0</v>
      </c>
      <c r="J985" s="1" t="str">
        <f t="shared" ca="1" si="24"/>
        <v/>
      </c>
      <c r="K985" s="11">
        <f>Tabela2[[#This Row],[SLA
Padrão]]-Tabela2[[#This Row],[SLA Atendimento]]</f>
        <v>0</v>
      </c>
      <c r="L985" s="11"/>
      <c r="O985" s="1" t="s">
        <v>30</v>
      </c>
      <c r="P985" s="2">
        <f>Tabela2[[#This Row],[Proposta
 Inicial]]-Tabela2[[#This Row],[Proposta
 Negociada]]</f>
        <v>0</v>
      </c>
      <c r="Q985" s="4" t="e">
        <f>Tabela2[[#This Row],[Proposta
 Negociada]]/Tabela2[[#This Row],[Proposta
 Inicial]]-1</f>
        <v>#DIV/0!</v>
      </c>
      <c r="S985"/>
    </row>
    <row r="986" spans="1:19" ht="15" customHeight="1">
      <c r="A986" s="9"/>
      <c r="B986" s="9"/>
      <c r="C986" s="1">
        <f>Tabela2[[#This Row],[Data
Pedido]]-Tabela2[[#This Row],[Data Última Aprovação RC]]</f>
        <v>0</v>
      </c>
      <c r="J986" s="1" t="str">
        <f t="shared" ca="1" si="24"/>
        <v/>
      </c>
      <c r="K986" s="11">
        <f>Tabela2[[#This Row],[SLA
Padrão]]-Tabela2[[#This Row],[SLA Atendimento]]</f>
        <v>0</v>
      </c>
      <c r="L986" s="11"/>
      <c r="O986" s="1" t="s">
        <v>30</v>
      </c>
      <c r="P986" s="2">
        <f>Tabela2[[#This Row],[Proposta
 Inicial]]-Tabela2[[#This Row],[Proposta
 Negociada]]</f>
        <v>0</v>
      </c>
      <c r="Q986" s="4" t="e">
        <f>Tabela2[[#This Row],[Proposta
 Negociada]]/Tabela2[[#This Row],[Proposta
 Inicial]]-1</f>
        <v>#DIV/0!</v>
      </c>
      <c r="S986"/>
    </row>
    <row r="987" spans="1:19" ht="15" customHeight="1">
      <c r="A987" s="9"/>
      <c r="B987" s="9"/>
      <c r="C987" s="1">
        <f>Tabela2[[#This Row],[Data
Pedido]]-Tabela2[[#This Row],[Data Última Aprovação RC]]</f>
        <v>0</v>
      </c>
      <c r="J987" s="1" t="str">
        <f t="shared" ca="1" si="24"/>
        <v/>
      </c>
      <c r="K987" s="11">
        <f>Tabela2[[#This Row],[SLA
Padrão]]-Tabela2[[#This Row],[SLA Atendimento]]</f>
        <v>0</v>
      </c>
      <c r="L987" s="11"/>
      <c r="O987" s="1" t="s">
        <v>30</v>
      </c>
      <c r="P987" s="2">
        <f>Tabela2[[#This Row],[Proposta
 Inicial]]-Tabela2[[#This Row],[Proposta
 Negociada]]</f>
        <v>0</v>
      </c>
      <c r="Q987" s="4" t="e">
        <f>Tabela2[[#This Row],[Proposta
 Negociada]]/Tabela2[[#This Row],[Proposta
 Inicial]]-1</f>
        <v>#DIV/0!</v>
      </c>
      <c r="S987"/>
    </row>
    <row r="988" spans="1:19" ht="15" customHeight="1">
      <c r="A988" s="9"/>
      <c r="B988" s="9"/>
      <c r="C988" s="1">
        <f>Tabela2[[#This Row],[Data
Pedido]]-Tabela2[[#This Row],[Data Última Aprovação RC]]</f>
        <v>0</v>
      </c>
      <c r="J988" s="1" t="str">
        <f t="shared" ca="1" si="24"/>
        <v/>
      </c>
      <c r="K988" s="11">
        <f>Tabela2[[#This Row],[SLA
Padrão]]-Tabela2[[#This Row],[SLA Atendimento]]</f>
        <v>0</v>
      </c>
      <c r="L988" s="11"/>
      <c r="O988" s="1" t="s">
        <v>30</v>
      </c>
      <c r="P988" s="2">
        <f>Tabela2[[#This Row],[Proposta
 Inicial]]-Tabela2[[#This Row],[Proposta
 Negociada]]</f>
        <v>0</v>
      </c>
      <c r="Q988" s="4" t="e">
        <f>Tabela2[[#This Row],[Proposta
 Negociada]]/Tabela2[[#This Row],[Proposta
 Inicial]]-1</f>
        <v>#DIV/0!</v>
      </c>
      <c r="S988"/>
    </row>
    <row r="989" spans="1:19" ht="15" customHeight="1">
      <c r="A989" s="9"/>
      <c r="B989" s="9"/>
      <c r="C989" s="1">
        <f>Tabela2[[#This Row],[Data
Pedido]]-Tabela2[[#This Row],[Data Última Aprovação RC]]</f>
        <v>0</v>
      </c>
      <c r="J989" s="1" t="str">
        <f t="shared" ca="1" si="24"/>
        <v/>
      </c>
      <c r="K989" s="11">
        <f>Tabela2[[#This Row],[SLA
Padrão]]-Tabela2[[#This Row],[SLA Atendimento]]</f>
        <v>0</v>
      </c>
      <c r="L989" s="11"/>
      <c r="O989" s="1" t="s">
        <v>30</v>
      </c>
      <c r="P989" s="2">
        <f>Tabela2[[#This Row],[Proposta
 Inicial]]-Tabela2[[#This Row],[Proposta
 Negociada]]</f>
        <v>0</v>
      </c>
      <c r="Q989" s="4" t="e">
        <f>Tabela2[[#This Row],[Proposta
 Negociada]]/Tabela2[[#This Row],[Proposta
 Inicial]]-1</f>
        <v>#DIV/0!</v>
      </c>
      <c r="S989"/>
    </row>
    <row r="990" spans="1:19" ht="15" customHeight="1">
      <c r="A990" s="9"/>
      <c r="B990" s="9"/>
      <c r="C990" s="1">
        <f>Tabela2[[#This Row],[Data
Pedido]]-Tabela2[[#This Row],[Data Última Aprovação RC]]</f>
        <v>0</v>
      </c>
      <c r="J990" s="1" t="str">
        <f t="shared" ca="1" si="24"/>
        <v/>
      </c>
      <c r="K990" s="11">
        <f>Tabela2[[#This Row],[SLA
Padrão]]-Tabela2[[#This Row],[SLA Atendimento]]</f>
        <v>0</v>
      </c>
      <c r="L990" s="11"/>
      <c r="O990" s="1" t="s">
        <v>30</v>
      </c>
      <c r="P990" s="2">
        <f>Tabela2[[#This Row],[Proposta
 Inicial]]-Tabela2[[#This Row],[Proposta
 Negociada]]</f>
        <v>0</v>
      </c>
      <c r="Q990" s="4" t="e">
        <f>Tabela2[[#This Row],[Proposta
 Negociada]]/Tabela2[[#This Row],[Proposta
 Inicial]]-1</f>
        <v>#DIV/0!</v>
      </c>
      <c r="S990"/>
    </row>
    <row r="991" spans="1:19" ht="15" customHeight="1">
      <c r="A991" s="9"/>
      <c r="B991" s="9"/>
      <c r="C991" s="1">
        <f>Tabela2[[#This Row],[Data
Pedido]]-Tabela2[[#This Row],[Data Última Aprovação RC]]</f>
        <v>0</v>
      </c>
      <c r="J991" s="1" t="str">
        <f t="shared" ca="1" si="24"/>
        <v/>
      </c>
      <c r="K991" s="11">
        <f>Tabela2[[#This Row],[SLA
Padrão]]-Tabela2[[#This Row],[SLA Atendimento]]</f>
        <v>0</v>
      </c>
      <c r="L991" s="11"/>
      <c r="O991" s="1" t="s">
        <v>30</v>
      </c>
      <c r="P991" s="2">
        <f>Tabela2[[#This Row],[Proposta
 Inicial]]-Tabela2[[#This Row],[Proposta
 Negociada]]</f>
        <v>0</v>
      </c>
      <c r="Q991" s="4" t="e">
        <f>Tabela2[[#This Row],[Proposta
 Negociada]]/Tabela2[[#This Row],[Proposta
 Inicial]]-1</f>
        <v>#DIV/0!</v>
      </c>
      <c r="S991"/>
    </row>
    <row r="992" spans="1:19" ht="15" customHeight="1">
      <c r="A992" s="9"/>
      <c r="B992" s="9"/>
      <c r="C992" s="1">
        <f>Tabela2[[#This Row],[Data
Pedido]]-Tabela2[[#This Row],[Data Última Aprovação RC]]</f>
        <v>0</v>
      </c>
      <c r="J992" s="1" t="str">
        <f t="shared" ca="1" si="24"/>
        <v/>
      </c>
      <c r="K992" s="11">
        <f>Tabela2[[#This Row],[SLA
Padrão]]-Tabela2[[#This Row],[SLA Atendimento]]</f>
        <v>0</v>
      </c>
      <c r="L992" s="11"/>
      <c r="O992" s="1" t="s">
        <v>30</v>
      </c>
      <c r="P992" s="2">
        <f>Tabela2[[#This Row],[Proposta
 Inicial]]-Tabela2[[#This Row],[Proposta
 Negociada]]</f>
        <v>0</v>
      </c>
      <c r="Q992" s="4" t="e">
        <f>Tabela2[[#This Row],[Proposta
 Negociada]]/Tabela2[[#This Row],[Proposta
 Inicial]]-1</f>
        <v>#DIV/0!</v>
      </c>
      <c r="S992"/>
    </row>
    <row r="993" spans="1:19" ht="15" customHeight="1">
      <c r="A993" s="9"/>
      <c r="B993" s="9"/>
      <c r="C993" s="1">
        <f>Tabela2[[#This Row],[Data
Pedido]]-Tabela2[[#This Row],[Data Última Aprovação RC]]</f>
        <v>0</v>
      </c>
      <c r="J993" s="1" t="str">
        <f t="shared" ca="1" si="24"/>
        <v/>
      </c>
      <c r="K993" s="11">
        <f>Tabela2[[#This Row],[SLA
Padrão]]-Tabela2[[#This Row],[SLA Atendimento]]</f>
        <v>0</v>
      </c>
      <c r="L993" s="11"/>
      <c r="O993" s="1" t="s">
        <v>30</v>
      </c>
      <c r="P993" s="2">
        <f>Tabela2[[#This Row],[Proposta
 Inicial]]-Tabela2[[#This Row],[Proposta
 Negociada]]</f>
        <v>0</v>
      </c>
      <c r="Q993" s="4" t="e">
        <f>Tabela2[[#This Row],[Proposta
 Negociada]]/Tabela2[[#This Row],[Proposta
 Inicial]]-1</f>
        <v>#DIV/0!</v>
      </c>
      <c r="S993"/>
    </row>
    <row r="994" spans="1:19" ht="15" customHeight="1">
      <c r="A994" s="9"/>
      <c r="B994" s="9"/>
      <c r="C994" s="1">
        <f>Tabela2[[#This Row],[Data
Pedido]]-Tabela2[[#This Row],[Data Última Aprovação RC]]</f>
        <v>0</v>
      </c>
      <c r="J994" s="1" t="str">
        <f t="shared" ca="1" si="24"/>
        <v/>
      </c>
      <c r="K994" s="11">
        <f>Tabela2[[#This Row],[SLA
Padrão]]-Tabela2[[#This Row],[SLA Atendimento]]</f>
        <v>0</v>
      </c>
      <c r="L994" s="11"/>
      <c r="O994" s="1" t="s">
        <v>30</v>
      </c>
      <c r="P994" s="2">
        <f>Tabela2[[#This Row],[Proposta
 Inicial]]-Tabela2[[#This Row],[Proposta
 Negociada]]</f>
        <v>0</v>
      </c>
      <c r="Q994" s="4" t="e">
        <f>Tabela2[[#This Row],[Proposta
 Negociada]]/Tabela2[[#This Row],[Proposta
 Inicial]]-1</f>
        <v>#DIV/0!</v>
      </c>
      <c r="S994"/>
    </row>
    <row r="995" spans="1:19" ht="15" customHeight="1">
      <c r="A995" s="9"/>
      <c r="B995" s="9"/>
      <c r="C995" s="1">
        <f>Tabela2[[#This Row],[Data
Pedido]]-Tabela2[[#This Row],[Data Última Aprovação RC]]</f>
        <v>0</v>
      </c>
      <c r="J995" s="1" t="str">
        <f t="shared" ca="1" si="24"/>
        <v/>
      </c>
      <c r="K995" s="11">
        <f>Tabela2[[#This Row],[SLA
Padrão]]-Tabela2[[#This Row],[SLA Atendimento]]</f>
        <v>0</v>
      </c>
      <c r="L995" s="11"/>
      <c r="O995" s="1" t="s">
        <v>30</v>
      </c>
      <c r="P995" s="2">
        <f>Tabela2[[#This Row],[Proposta
 Inicial]]-Tabela2[[#This Row],[Proposta
 Negociada]]</f>
        <v>0</v>
      </c>
      <c r="Q995" s="4" t="e">
        <f>Tabela2[[#This Row],[Proposta
 Negociada]]/Tabela2[[#This Row],[Proposta
 Inicial]]-1</f>
        <v>#DIV/0!</v>
      </c>
      <c r="S995"/>
    </row>
    <row r="996" spans="1:19" ht="15" customHeight="1">
      <c r="A996" s="9"/>
      <c r="B996" s="9"/>
      <c r="C996" s="1">
        <f>Tabela2[[#This Row],[Data
Pedido]]-Tabela2[[#This Row],[Data Última Aprovação RC]]</f>
        <v>0</v>
      </c>
      <c r="J996" s="1" t="str">
        <f t="shared" ca="1" si="24"/>
        <v/>
      </c>
      <c r="K996" s="11">
        <f>Tabela2[[#This Row],[SLA
Padrão]]-Tabela2[[#This Row],[SLA Atendimento]]</f>
        <v>0</v>
      </c>
      <c r="L996" s="11"/>
      <c r="O996" s="1" t="s">
        <v>30</v>
      </c>
      <c r="P996" s="2">
        <f>Tabela2[[#This Row],[Proposta
 Inicial]]-Tabela2[[#This Row],[Proposta
 Negociada]]</f>
        <v>0</v>
      </c>
      <c r="Q996" s="4" t="e">
        <f>Tabela2[[#This Row],[Proposta
 Negociada]]/Tabela2[[#This Row],[Proposta
 Inicial]]-1</f>
        <v>#DIV/0!</v>
      </c>
      <c r="S996"/>
    </row>
    <row r="997" spans="1:19" ht="15" customHeight="1">
      <c r="A997" s="9"/>
      <c r="B997" s="9"/>
      <c r="C997" s="1">
        <f>Tabela2[[#This Row],[Data
Pedido]]-Tabela2[[#This Row],[Data Última Aprovação RC]]</f>
        <v>0</v>
      </c>
      <c r="J997" s="1" t="str">
        <f t="shared" ca="1" si="24"/>
        <v/>
      </c>
      <c r="K997" s="11">
        <f>Tabela2[[#This Row],[SLA
Padrão]]-Tabela2[[#This Row],[SLA Atendimento]]</f>
        <v>0</v>
      </c>
      <c r="L997" s="11"/>
      <c r="O997" s="1" t="s">
        <v>30</v>
      </c>
      <c r="P997" s="2">
        <f>Tabela2[[#This Row],[Proposta
 Inicial]]-Tabela2[[#This Row],[Proposta
 Negociada]]</f>
        <v>0</v>
      </c>
      <c r="Q997" s="4" t="e">
        <f>Tabela2[[#This Row],[Proposta
 Negociada]]/Tabela2[[#This Row],[Proposta
 Inicial]]-1</f>
        <v>#DIV/0!</v>
      </c>
      <c r="S997"/>
    </row>
    <row r="998" spans="1:19" ht="15" customHeight="1">
      <c r="A998" s="9"/>
      <c r="B998" s="9"/>
      <c r="C998" s="1">
        <f>Tabela2[[#This Row],[Data
Pedido]]-Tabela2[[#This Row],[Data Última Aprovação RC]]</f>
        <v>0</v>
      </c>
      <c r="J998" s="1" t="str">
        <f t="shared" ca="1" si="24"/>
        <v/>
      </c>
      <c r="K998" s="11">
        <f>Tabela2[[#This Row],[SLA
Padrão]]-Tabela2[[#This Row],[SLA Atendimento]]</f>
        <v>0</v>
      </c>
      <c r="L998" s="11"/>
      <c r="O998" s="1" t="s">
        <v>30</v>
      </c>
      <c r="P998" s="2">
        <f>Tabela2[[#This Row],[Proposta
 Inicial]]-Tabela2[[#This Row],[Proposta
 Negociada]]</f>
        <v>0</v>
      </c>
      <c r="Q998" s="4" t="e">
        <f>Tabela2[[#This Row],[Proposta
 Negociada]]/Tabela2[[#This Row],[Proposta
 Inicial]]-1</f>
        <v>#DIV/0!</v>
      </c>
      <c r="S998"/>
    </row>
    <row r="999" spans="1:19" ht="15" customHeight="1">
      <c r="A999" s="9"/>
      <c r="B999" s="9"/>
      <c r="C999" s="1">
        <f>Tabela2[[#This Row],[Data
Pedido]]-Tabela2[[#This Row],[Data Última Aprovação RC]]</f>
        <v>0</v>
      </c>
      <c r="J999" s="1" t="str">
        <f t="shared" ca="1" si="24"/>
        <v/>
      </c>
      <c r="K999" s="11">
        <f>Tabela2[[#This Row],[SLA
Padrão]]-Tabela2[[#This Row],[SLA Atendimento]]</f>
        <v>0</v>
      </c>
      <c r="L999" s="11"/>
      <c r="O999" s="1" t="s">
        <v>30</v>
      </c>
      <c r="P999" s="2">
        <f>Tabela2[[#This Row],[Proposta
 Inicial]]-Tabela2[[#This Row],[Proposta
 Negociada]]</f>
        <v>0</v>
      </c>
      <c r="Q999" s="4" t="e">
        <f>Tabela2[[#This Row],[Proposta
 Negociada]]/Tabela2[[#This Row],[Proposta
 Inicial]]-1</f>
        <v>#DIV/0!</v>
      </c>
      <c r="S999"/>
    </row>
    <row r="1000" spans="1:19" ht="15" customHeight="1">
      <c r="A1000" s="9"/>
      <c r="B1000" s="9"/>
      <c r="C1000" s="1">
        <f>Tabela2[[#This Row],[Data
Pedido]]-Tabela2[[#This Row],[Data Última Aprovação RC]]</f>
        <v>0</v>
      </c>
      <c r="J1000" s="1" t="str">
        <f t="shared" ca="1" si="24"/>
        <v/>
      </c>
      <c r="K1000" s="11">
        <f>Tabela2[[#This Row],[SLA
Padrão]]-Tabela2[[#This Row],[SLA Atendimento]]</f>
        <v>0</v>
      </c>
      <c r="L1000" s="11"/>
      <c r="O1000" s="1" t="s">
        <v>30</v>
      </c>
      <c r="P1000" s="2">
        <f>Tabela2[[#This Row],[Proposta
 Inicial]]-Tabela2[[#This Row],[Proposta
 Negociada]]</f>
        <v>0</v>
      </c>
      <c r="Q1000" s="4" t="e">
        <f>Tabela2[[#This Row],[Proposta
 Negociada]]/Tabela2[[#This Row],[Proposta
 Inicial]]-1</f>
        <v>#DIV/0!</v>
      </c>
      <c r="S1000"/>
    </row>
    <row r="1001" spans="1:19" ht="15" customHeight="1">
      <c r="A1001" s="9"/>
      <c r="B1001" s="9"/>
      <c r="C1001" s="1">
        <f>Tabela2[[#This Row],[Data
Pedido]]-Tabela2[[#This Row],[Data Última Aprovação RC]]</f>
        <v>0</v>
      </c>
      <c r="J1001" s="1" t="str">
        <f t="shared" ca="1" si="24"/>
        <v/>
      </c>
      <c r="K1001" s="11">
        <f>Tabela2[[#This Row],[SLA
Padrão]]-Tabela2[[#This Row],[SLA Atendimento]]</f>
        <v>0</v>
      </c>
      <c r="L1001" s="11"/>
      <c r="O1001" s="1" t="s">
        <v>30</v>
      </c>
      <c r="P1001" s="2">
        <f>Tabela2[[#This Row],[Proposta
 Inicial]]-Tabela2[[#This Row],[Proposta
 Negociada]]</f>
        <v>0</v>
      </c>
      <c r="Q1001" s="4" t="e">
        <f>Tabela2[[#This Row],[Proposta
 Negociada]]/Tabela2[[#This Row],[Proposta
 Inicial]]-1</f>
        <v>#DIV/0!</v>
      </c>
      <c r="S1001"/>
    </row>
    <row r="1002" spans="1:19" ht="15" customHeight="1">
      <c r="A1002" s="9"/>
      <c r="B1002" s="9"/>
      <c r="C1002" s="1">
        <f>Tabela2[[#This Row],[Data
Pedido]]-Tabela2[[#This Row],[Data Última Aprovação RC]]</f>
        <v>0</v>
      </c>
      <c r="J1002" s="1" t="str">
        <f t="shared" ca="1" si="24"/>
        <v/>
      </c>
      <c r="K1002" s="11">
        <f>Tabela2[[#This Row],[SLA
Padrão]]-Tabela2[[#This Row],[SLA Atendimento]]</f>
        <v>0</v>
      </c>
      <c r="L1002" s="11"/>
      <c r="O1002" s="1" t="s">
        <v>30</v>
      </c>
      <c r="P1002" s="2">
        <f>Tabela2[[#This Row],[Proposta
 Inicial]]-Tabela2[[#This Row],[Proposta
 Negociada]]</f>
        <v>0</v>
      </c>
      <c r="Q1002" s="4" t="e">
        <f>Tabela2[[#This Row],[Proposta
 Negociada]]/Tabela2[[#This Row],[Proposta
 Inicial]]-1</f>
        <v>#DIV/0!</v>
      </c>
      <c r="S1002"/>
    </row>
    <row r="1003" spans="1:19" ht="15" customHeight="1">
      <c r="A1003" s="9"/>
      <c r="B1003" s="9"/>
      <c r="C1003" s="1">
        <f>Tabela2[[#This Row],[Data
Pedido]]-Tabela2[[#This Row],[Data Última Aprovação RC]]</f>
        <v>0</v>
      </c>
      <c r="J1003" s="1" t="str">
        <f t="shared" ref="J1003:J1066" ca="1" si="25">IF(A1003="","",IF(B1003="",IF(TODAY()-A1003&gt;I1003,"ATRASADA","EM ANDAMENTO"),IF(B1003-A1003&gt;I1003,"ATRASADA","NO PRAZO")))</f>
        <v/>
      </c>
      <c r="K1003" s="11">
        <f>Tabela2[[#This Row],[SLA
Padrão]]-Tabela2[[#This Row],[SLA Atendimento]]</f>
        <v>0</v>
      </c>
      <c r="L1003" s="11"/>
      <c r="O1003" s="1" t="s">
        <v>30</v>
      </c>
      <c r="P1003" s="2">
        <f>Tabela2[[#This Row],[Proposta
 Inicial]]-Tabela2[[#This Row],[Proposta
 Negociada]]</f>
        <v>0</v>
      </c>
      <c r="Q1003" s="4" t="e">
        <f>Tabela2[[#This Row],[Proposta
 Negociada]]/Tabela2[[#This Row],[Proposta
 Inicial]]-1</f>
        <v>#DIV/0!</v>
      </c>
      <c r="S1003"/>
    </row>
    <row r="1004" spans="1:19" ht="15" customHeight="1">
      <c r="A1004" s="9"/>
      <c r="B1004" s="9"/>
      <c r="C1004" s="1">
        <f>Tabela2[[#This Row],[Data
Pedido]]-Tabela2[[#This Row],[Data Última Aprovação RC]]</f>
        <v>0</v>
      </c>
      <c r="J1004" s="1" t="str">
        <f t="shared" ca="1" si="25"/>
        <v/>
      </c>
      <c r="K1004" s="11">
        <f>Tabela2[[#This Row],[SLA
Padrão]]-Tabela2[[#This Row],[SLA Atendimento]]</f>
        <v>0</v>
      </c>
      <c r="L1004" s="11"/>
      <c r="O1004" s="1" t="s">
        <v>30</v>
      </c>
      <c r="P1004" s="2">
        <f>Tabela2[[#This Row],[Proposta
 Inicial]]-Tabela2[[#This Row],[Proposta
 Negociada]]</f>
        <v>0</v>
      </c>
      <c r="Q1004" s="4" t="e">
        <f>Tabela2[[#This Row],[Proposta
 Negociada]]/Tabela2[[#This Row],[Proposta
 Inicial]]-1</f>
        <v>#DIV/0!</v>
      </c>
      <c r="S1004"/>
    </row>
    <row r="1005" spans="1:19" ht="15" customHeight="1">
      <c r="A1005" s="9"/>
      <c r="B1005" s="9"/>
      <c r="C1005" s="1">
        <f>Tabela2[[#This Row],[Data
Pedido]]-Tabela2[[#This Row],[Data Última Aprovação RC]]</f>
        <v>0</v>
      </c>
      <c r="J1005" s="1" t="str">
        <f t="shared" ca="1" si="25"/>
        <v/>
      </c>
      <c r="K1005" s="11">
        <f>Tabela2[[#This Row],[SLA
Padrão]]-Tabela2[[#This Row],[SLA Atendimento]]</f>
        <v>0</v>
      </c>
      <c r="L1005" s="11"/>
      <c r="O1005" s="1" t="s">
        <v>30</v>
      </c>
      <c r="P1005" s="2">
        <f>Tabela2[[#This Row],[Proposta
 Inicial]]-Tabela2[[#This Row],[Proposta
 Negociada]]</f>
        <v>0</v>
      </c>
      <c r="Q1005" s="4" t="e">
        <f>Tabela2[[#This Row],[Proposta
 Negociada]]/Tabela2[[#This Row],[Proposta
 Inicial]]-1</f>
        <v>#DIV/0!</v>
      </c>
      <c r="S1005"/>
    </row>
    <row r="1006" spans="1:19" ht="15" customHeight="1">
      <c r="A1006" s="9"/>
      <c r="B1006" s="9"/>
      <c r="C1006" s="1">
        <f>Tabela2[[#This Row],[Data
Pedido]]-Tabela2[[#This Row],[Data Última Aprovação RC]]</f>
        <v>0</v>
      </c>
      <c r="J1006" s="1" t="str">
        <f t="shared" ca="1" si="25"/>
        <v/>
      </c>
      <c r="K1006" s="11">
        <f>Tabela2[[#This Row],[SLA
Padrão]]-Tabela2[[#This Row],[SLA Atendimento]]</f>
        <v>0</v>
      </c>
      <c r="L1006" s="11"/>
      <c r="O1006" s="1" t="s">
        <v>30</v>
      </c>
      <c r="P1006" s="2">
        <f>Tabela2[[#This Row],[Proposta
 Inicial]]-Tabela2[[#This Row],[Proposta
 Negociada]]</f>
        <v>0</v>
      </c>
      <c r="Q1006" s="4" t="e">
        <f>Tabela2[[#This Row],[Proposta
 Negociada]]/Tabela2[[#This Row],[Proposta
 Inicial]]-1</f>
        <v>#DIV/0!</v>
      </c>
      <c r="S1006"/>
    </row>
    <row r="1007" spans="1:19" ht="15" customHeight="1">
      <c r="A1007" s="9"/>
      <c r="B1007" s="9"/>
      <c r="C1007" s="1">
        <f>Tabela2[[#This Row],[Data
Pedido]]-Tabela2[[#This Row],[Data Última Aprovação RC]]</f>
        <v>0</v>
      </c>
      <c r="J1007" s="1" t="str">
        <f t="shared" ca="1" si="25"/>
        <v/>
      </c>
      <c r="K1007" s="11">
        <f>Tabela2[[#This Row],[SLA
Padrão]]-Tabela2[[#This Row],[SLA Atendimento]]</f>
        <v>0</v>
      </c>
      <c r="L1007" s="11"/>
      <c r="O1007" s="1" t="s">
        <v>30</v>
      </c>
      <c r="P1007" s="2">
        <f>Tabela2[[#This Row],[Proposta
 Inicial]]-Tabela2[[#This Row],[Proposta
 Negociada]]</f>
        <v>0</v>
      </c>
      <c r="Q1007" s="4" t="e">
        <f>Tabela2[[#This Row],[Proposta
 Negociada]]/Tabela2[[#This Row],[Proposta
 Inicial]]-1</f>
        <v>#DIV/0!</v>
      </c>
      <c r="S1007"/>
    </row>
    <row r="1008" spans="1:19" ht="15" customHeight="1">
      <c r="A1008" s="9"/>
      <c r="B1008" s="9"/>
      <c r="C1008" s="1">
        <f>Tabela2[[#This Row],[Data
Pedido]]-Tabela2[[#This Row],[Data Última Aprovação RC]]</f>
        <v>0</v>
      </c>
      <c r="J1008" s="1" t="str">
        <f t="shared" ca="1" si="25"/>
        <v/>
      </c>
      <c r="K1008" s="11">
        <f>Tabela2[[#This Row],[SLA
Padrão]]-Tabela2[[#This Row],[SLA Atendimento]]</f>
        <v>0</v>
      </c>
      <c r="L1008" s="11"/>
      <c r="O1008" s="1" t="s">
        <v>30</v>
      </c>
      <c r="P1008" s="2">
        <f>Tabela2[[#This Row],[Proposta
 Inicial]]-Tabela2[[#This Row],[Proposta
 Negociada]]</f>
        <v>0</v>
      </c>
      <c r="Q1008" s="4" t="e">
        <f>Tabela2[[#This Row],[Proposta
 Negociada]]/Tabela2[[#This Row],[Proposta
 Inicial]]-1</f>
        <v>#DIV/0!</v>
      </c>
      <c r="S1008"/>
    </row>
    <row r="1009" spans="1:19" ht="15" customHeight="1">
      <c r="A1009" s="9"/>
      <c r="B1009" s="9"/>
      <c r="C1009" s="1">
        <f>Tabela2[[#This Row],[Data
Pedido]]-Tabela2[[#This Row],[Data Última Aprovação RC]]</f>
        <v>0</v>
      </c>
      <c r="J1009" s="1" t="str">
        <f t="shared" ca="1" si="25"/>
        <v/>
      </c>
      <c r="K1009" s="11">
        <f>Tabela2[[#This Row],[SLA
Padrão]]-Tabela2[[#This Row],[SLA Atendimento]]</f>
        <v>0</v>
      </c>
      <c r="L1009" s="11"/>
      <c r="O1009" s="1" t="s">
        <v>30</v>
      </c>
      <c r="P1009" s="2">
        <f>Tabela2[[#This Row],[Proposta
 Inicial]]-Tabela2[[#This Row],[Proposta
 Negociada]]</f>
        <v>0</v>
      </c>
      <c r="Q1009" s="4" t="e">
        <f>Tabela2[[#This Row],[Proposta
 Negociada]]/Tabela2[[#This Row],[Proposta
 Inicial]]-1</f>
        <v>#DIV/0!</v>
      </c>
      <c r="S1009"/>
    </row>
    <row r="1010" spans="1:19" ht="15" customHeight="1">
      <c r="A1010" s="9"/>
      <c r="B1010" s="9"/>
      <c r="C1010" s="1">
        <f>Tabela2[[#This Row],[Data
Pedido]]-Tabela2[[#This Row],[Data Última Aprovação RC]]</f>
        <v>0</v>
      </c>
      <c r="J1010" s="1" t="str">
        <f t="shared" ca="1" si="25"/>
        <v/>
      </c>
      <c r="K1010" s="11">
        <f>Tabela2[[#This Row],[SLA
Padrão]]-Tabela2[[#This Row],[SLA Atendimento]]</f>
        <v>0</v>
      </c>
      <c r="L1010" s="11"/>
      <c r="O1010" s="1" t="s">
        <v>30</v>
      </c>
      <c r="P1010" s="2">
        <f>Tabela2[[#This Row],[Proposta
 Inicial]]-Tabela2[[#This Row],[Proposta
 Negociada]]</f>
        <v>0</v>
      </c>
      <c r="Q1010" s="4" t="e">
        <f>Tabela2[[#This Row],[Proposta
 Negociada]]/Tabela2[[#This Row],[Proposta
 Inicial]]-1</f>
        <v>#DIV/0!</v>
      </c>
      <c r="S1010"/>
    </row>
    <row r="1011" spans="1:19" ht="15" customHeight="1">
      <c r="A1011" s="9"/>
      <c r="B1011" s="9"/>
      <c r="C1011" s="1">
        <f>Tabela2[[#This Row],[Data
Pedido]]-Tabela2[[#This Row],[Data Última Aprovação RC]]</f>
        <v>0</v>
      </c>
      <c r="J1011" s="1" t="str">
        <f t="shared" ca="1" si="25"/>
        <v/>
      </c>
      <c r="K1011" s="11">
        <f>Tabela2[[#This Row],[SLA
Padrão]]-Tabela2[[#This Row],[SLA Atendimento]]</f>
        <v>0</v>
      </c>
      <c r="L1011" s="11"/>
      <c r="O1011" s="1" t="s">
        <v>30</v>
      </c>
      <c r="P1011" s="2">
        <f>Tabela2[[#This Row],[Proposta
 Inicial]]-Tabela2[[#This Row],[Proposta
 Negociada]]</f>
        <v>0</v>
      </c>
      <c r="Q1011" s="4" t="e">
        <f>Tabela2[[#This Row],[Proposta
 Negociada]]/Tabela2[[#This Row],[Proposta
 Inicial]]-1</f>
        <v>#DIV/0!</v>
      </c>
      <c r="S1011"/>
    </row>
    <row r="1012" spans="1:19" ht="15" customHeight="1">
      <c r="A1012" s="9"/>
      <c r="B1012" s="9"/>
      <c r="C1012" s="1">
        <f>Tabela2[[#This Row],[Data
Pedido]]-Tabela2[[#This Row],[Data Última Aprovação RC]]</f>
        <v>0</v>
      </c>
      <c r="J1012" s="1" t="str">
        <f t="shared" ca="1" si="25"/>
        <v/>
      </c>
      <c r="K1012" s="11">
        <f>Tabela2[[#This Row],[SLA
Padrão]]-Tabela2[[#This Row],[SLA Atendimento]]</f>
        <v>0</v>
      </c>
      <c r="L1012" s="11"/>
      <c r="O1012" s="1" t="s">
        <v>30</v>
      </c>
      <c r="P1012" s="2">
        <f>Tabela2[[#This Row],[Proposta
 Inicial]]-Tabela2[[#This Row],[Proposta
 Negociada]]</f>
        <v>0</v>
      </c>
      <c r="Q1012" s="4" t="e">
        <f>Tabela2[[#This Row],[Proposta
 Negociada]]/Tabela2[[#This Row],[Proposta
 Inicial]]-1</f>
        <v>#DIV/0!</v>
      </c>
      <c r="S1012"/>
    </row>
    <row r="1013" spans="1:19" ht="15" customHeight="1">
      <c r="A1013" s="9"/>
      <c r="B1013" s="9"/>
      <c r="C1013" s="1">
        <f>Tabela2[[#This Row],[Data
Pedido]]-Tabela2[[#This Row],[Data Última Aprovação RC]]</f>
        <v>0</v>
      </c>
      <c r="J1013" s="1" t="str">
        <f t="shared" ca="1" si="25"/>
        <v/>
      </c>
      <c r="K1013" s="11">
        <f>Tabela2[[#This Row],[SLA
Padrão]]-Tabela2[[#This Row],[SLA Atendimento]]</f>
        <v>0</v>
      </c>
      <c r="L1013" s="11"/>
      <c r="O1013" s="1" t="s">
        <v>30</v>
      </c>
      <c r="P1013" s="2">
        <f>Tabela2[[#This Row],[Proposta
 Inicial]]-Tabela2[[#This Row],[Proposta
 Negociada]]</f>
        <v>0</v>
      </c>
      <c r="Q1013" s="4" t="e">
        <f>Tabela2[[#This Row],[Proposta
 Negociada]]/Tabela2[[#This Row],[Proposta
 Inicial]]-1</f>
        <v>#DIV/0!</v>
      </c>
      <c r="S1013"/>
    </row>
    <row r="1014" spans="1:19" ht="15" customHeight="1">
      <c r="A1014" s="9"/>
      <c r="B1014" s="9"/>
      <c r="C1014" s="1">
        <f>Tabela2[[#This Row],[Data
Pedido]]-Tabela2[[#This Row],[Data Última Aprovação RC]]</f>
        <v>0</v>
      </c>
      <c r="J1014" s="1" t="str">
        <f t="shared" ca="1" si="25"/>
        <v/>
      </c>
      <c r="K1014" s="11">
        <f>Tabela2[[#This Row],[SLA
Padrão]]-Tabela2[[#This Row],[SLA Atendimento]]</f>
        <v>0</v>
      </c>
      <c r="L1014" s="11"/>
      <c r="O1014" s="1" t="s">
        <v>30</v>
      </c>
      <c r="P1014" s="2">
        <f>Tabela2[[#This Row],[Proposta
 Inicial]]-Tabela2[[#This Row],[Proposta
 Negociada]]</f>
        <v>0</v>
      </c>
      <c r="Q1014" s="4" t="e">
        <f>Tabela2[[#This Row],[Proposta
 Negociada]]/Tabela2[[#This Row],[Proposta
 Inicial]]-1</f>
        <v>#DIV/0!</v>
      </c>
      <c r="S1014"/>
    </row>
    <row r="1015" spans="1:19" ht="15" customHeight="1">
      <c r="A1015" s="9"/>
      <c r="B1015" s="9"/>
      <c r="C1015" s="1">
        <f>Tabela2[[#This Row],[Data
Pedido]]-Tabela2[[#This Row],[Data Última Aprovação RC]]</f>
        <v>0</v>
      </c>
      <c r="J1015" s="1" t="str">
        <f t="shared" ca="1" si="25"/>
        <v/>
      </c>
      <c r="K1015" s="11">
        <f>Tabela2[[#This Row],[SLA
Padrão]]-Tabela2[[#This Row],[SLA Atendimento]]</f>
        <v>0</v>
      </c>
      <c r="L1015" s="11"/>
      <c r="O1015" s="1" t="s">
        <v>30</v>
      </c>
      <c r="P1015" s="2">
        <f>Tabela2[[#This Row],[Proposta
 Inicial]]-Tabela2[[#This Row],[Proposta
 Negociada]]</f>
        <v>0</v>
      </c>
      <c r="Q1015" s="4" t="e">
        <f>Tabela2[[#This Row],[Proposta
 Negociada]]/Tabela2[[#This Row],[Proposta
 Inicial]]-1</f>
        <v>#DIV/0!</v>
      </c>
      <c r="S1015"/>
    </row>
    <row r="1016" spans="1:19" ht="15" customHeight="1">
      <c r="A1016" s="9"/>
      <c r="B1016" s="9"/>
      <c r="C1016" s="1">
        <f>Tabela2[[#This Row],[Data
Pedido]]-Tabela2[[#This Row],[Data Última Aprovação RC]]</f>
        <v>0</v>
      </c>
      <c r="J1016" s="1" t="str">
        <f t="shared" ca="1" si="25"/>
        <v/>
      </c>
      <c r="K1016" s="11">
        <f>Tabela2[[#This Row],[SLA
Padrão]]-Tabela2[[#This Row],[SLA Atendimento]]</f>
        <v>0</v>
      </c>
      <c r="L1016" s="11"/>
      <c r="O1016" s="1" t="s">
        <v>30</v>
      </c>
      <c r="P1016" s="2">
        <f>Tabela2[[#This Row],[Proposta
 Inicial]]-Tabela2[[#This Row],[Proposta
 Negociada]]</f>
        <v>0</v>
      </c>
      <c r="Q1016" s="4" t="e">
        <f>Tabela2[[#This Row],[Proposta
 Negociada]]/Tabela2[[#This Row],[Proposta
 Inicial]]-1</f>
        <v>#DIV/0!</v>
      </c>
      <c r="S1016"/>
    </row>
    <row r="1017" spans="1:19" ht="15" customHeight="1">
      <c r="A1017" s="9"/>
      <c r="B1017" s="9"/>
      <c r="C1017" s="1">
        <f>Tabela2[[#This Row],[Data
Pedido]]-Tabela2[[#This Row],[Data Última Aprovação RC]]</f>
        <v>0</v>
      </c>
      <c r="J1017" s="1" t="str">
        <f t="shared" ca="1" si="25"/>
        <v/>
      </c>
      <c r="K1017" s="11">
        <f>Tabela2[[#This Row],[SLA
Padrão]]-Tabela2[[#This Row],[SLA Atendimento]]</f>
        <v>0</v>
      </c>
      <c r="L1017" s="11"/>
      <c r="O1017" s="1" t="s">
        <v>30</v>
      </c>
      <c r="P1017" s="2">
        <f>Tabela2[[#This Row],[Proposta
 Inicial]]-Tabela2[[#This Row],[Proposta
 Negociada]]</f>
        <v>0</v>
      </c>
      <c r="Q1017" s="4" t="e">
        <f>Tabela2[[#This Row],[Proposta
 Negociada]]/Tabela2[[#This Row],[Proposta
 Inicial]]-1</f>
        <v>#DIV/0!</v>
      </c>
      <c r="S1017"/>
    </row>
    <row r="1018" spans="1:19" ht="15" customHeight="1">
      <c r="A1018" s="9"/>
      <c r="B1018" s="9"/>
      <c r="C1018" s="1">
        <f>Tabela2[[#This Row],[Data
Pedido]]-Tabela2[[#This Row],[Data Última Aprovação RC]]</f>
        <v>0</v>
      </c>
      <c r="J1018" s="1" t="str">
        <f t="shared" ca="1" si="25"/>
        <v/>
      </c>
      <c r="K1018" s="11">
        <f>Tabela2[[#This Row],[SLA
Padrão]]-Tabela2[[#This Row],[SLA Atendimento]]</f>
        <v>0</v>
      </c>
      <c r="L1018" s="11"/>
      <c r="O1018" s="1" t="s">
        <v>30</v>
      </c>
      <c r="P1018" s="2">
        <f>Tabela2[[#This Row],[Proposta
 Inicial]]-Tabela2[[#This Row],[Proposta
 Negociada]]</f>
        <v>0</v>
      </c>
      <c r="Q1018" s="4" t="e">
        <f>Tabela2[[#This Row],[Proposta
 Negociada]]/Tabela2[[#This Row],[Proposta
 Inicial]]-1</f>
        <v>#DIV/0!</v>
      </c>
      <c r="S1018"/>
    </row>
    <row r="1019" spans="1:19" ht="15" customHeight="1">
      <c r="A1019" s="9"/>
      <c r="B1019" s="9"/>
      <c r="C1019" s="1">
        <f>Tabela2[[#This Row],[Data
Pedido]]-Tabela2[[#This Row],[Data Última Aprovação RC]]</f>
        <v>0</v>
      </c>
      <c r="J1019" s="1" t="str">
        <f t="shared" ca="1" si="25"/>
        <v/>
      </c>
      <c r="K1019" s="11">
        <f>Tabela2[[#This Row],[SLA
Padrão]]-Tabela2[[#This Row],[SLA Atendimento]]</f>
        <v>0</v>
      </c>
      <c r="L1019" s="11"/>
      <c r="O1019" s="1" t="s">
        <v>30</v>
      </c>
      <c r="P1019" s="2">
        <f>Tabela2[[#This Row],[Proposta
 Inicial]]-Tabela2[[#This Row],[Proposta
 Negociada]]</f>
        <v>0</v>
      </c>
      <c r="Q1019" s="4" t="e">
        <f>Tabela2[[#This Row],[Proposta
 Negociada]]/Tabela2[[#This Row],[Proposta
 Inicial]]-1</f>
        <v>#DIV/0!</v>
      </c>
      <c r="S1019"/>
    </row>
    <row r="1020" spans="1:19" ht="15" customHeight="1">
      <c r="A1020" s="9"/>
      <c r="B1020" s="9"/>
      <c r="C1020" s="1">
        <f>Tabela2[[#This Row],[Data
Pedido]]-Tabela2[[#This Row],[Data Última Aprovação RC]]</f>
        <v>0</v>
      </c>
      <c r="J1020" s="1" t="str">
        <f t="shared" ca="1" si="25"/>
        <v/>
      </c>
      <c r="K1020" s="11">
        <f>Tabela2[[#This Row],[SLA
Padrão]]-Tabela2[[#This Row],[SLA Atendimento]]</f>
        <v>0</v>
      </c>
      <c r="L1020" s="11"/>
      <c r="O1020" s="1" t="s">
        <v>30</v>
      </c>
      <c r="P1020" s="2">
        <f>Tabela2[[#This Row],[Proposta
 Inicial]]-Tabela2[[#This Row],[Proposta
 Negociada]]</f>
        <v>0</v>
      </c>
      <c r="Q1020" s="4" t="e">
        <f>Tabela2[[#This Row],[Proposta
 Negociada]]/Tabela2[[#This Row],[Proposta
 Inicial]]-1</f>
        <v>#DIV/0!</v>
      </c>
      <c r="S1020"/>
    </row>
    <row r="1021" spans="1:19" ht="15" customHeight="1">
      <c r="A1021" s="9"/>
      <c r="B1021" s="9"/>
      <c r="C1021" s="1">
        <f>Tabela2[[#This Row],[Data
Pedido]]-Tabela2[[#This Row],[Data Última Aprovação RC]]</f>
        <v>0</v>
      </c>
      <c r="J1021" s="1" t="str">
        <f t="shared" ca="1" si="25"/>
        <v/>
      </c>
      <c r="K1021" s="11">
        <f>Tabela2[[#This Row],[SLA
Padrão]]-Tabela2[[#This Row],[SLA Atendimento]]</f>
        <v>0</v>
      </c>
      <c r="L1021" s="11"/>
      <c r="O1021" s="1" t="s">
        <v>30</v>
      </c>
      <c r="P1021" s="2">
        <f>Tabela2[[#This Row],[Proposta
 Inicial]]-Tabela2[[#This Row],[Proposta
 Negociada]]</f>
        <v>0</v>
      </c>
      <c r="Q1021" s="4" t="e">
        <f>Tabela2[[#This Row],[Proposta
 Negociada]]/Tabela2[[#This Row],[Proposta
 Inicial]]-1</f>
        <v>#DIV/0!</v>
      </c>
      <c r="S1021"/>
    </row>
    <row r="1022" spans="1:19" ht="15" customHeight="1">
      <c r="A1022" s="9"/>
      <c r="B1022" s="9"/>
      <c r="C1022" s="1">
        <f>Tabela2[[#This Row],[Data
Pedido]]-Tabela2[[#This Row],[Data Última Aprovação RC]]</f>
        <v>0</v>
      </c>
      <c r="J1022" s="1" t="str">
        <f t="shared" ca="1" si="25"/>
        <v/>
      </c>
      <c r="K1022" s="11">
        <f>Tabela2[[#This Row],[SLA
Padrão]]-Tabela2[[#This Row],[SLA Atendimento]]</f>
        <v>0</v>
      </c>
      <c r="L1022" s="11"/>
      <c r="O1022" s="1" t="s">
        <v>30</v>
      </c>
      <c r="P1022" s="2">
        <f>Tabela2[[#This Row],[Proposta
 Inicial]]-Tabela2[[#This Row],[Proposta
 Negociada]]</f>
        <v>0</v>
      </c>
      <c r="Q1022" s="4" t="e">
        <f>Tabela2[[#This Row],[Proposta
 Negociada]]/Tabela2[[#This Row],[Proposta
 Inicial]]-1</f>
        <v>#DIV/0!</v>
      </c>
      <c r="S1022"/>
    </row>
    <row r="1023" spans="1:19" ht="15" customHeight="1">
      <c r="A1023" s="9"/>
      <c r="B1023" s="9"/>
      <c r="C1023" s="1">
        <f>Tabela2[[#This Row],[Data
Pedido]]-Tabela2[[#This Row],[Data Última Aprovação RC]]</f>
        <v>0</v>
      </c>
      <c r="J1023" s="1" t="str">
        <f t="shared" ca="1" si="25"/>
        <v/>
      </c>
      <c r="K1023" s="11">
        <f>Tabela2[[#This Row],[SLA
Padrão]]-Tabela2[[#This Row],[SLA Atendimento]]</f>
        <v>0</v>
      </c>
      <c r="L1023" s="11"/>
      <c r="O1023" s="1" t="s">
        <v>30</v>
      </c>
      <c r="P1023" s="2">
        <f>Tabela2[[#This Row],[Proposta
 Inicial]]-Tabela2[[#This Row],[Proposta
 Negociada]]</f>
        <v>0</v>
      </c>
      <c r="Q1023" s="4" t="e">
        <f>Tabela2[[#This Row],[Proposta
 Negociada]]/Tabela2[[#This Row],[Proposta
 Inicial]]-1</f>
        <v>#DIV/0!</v>
      </c>
      <c r="S1023"/>
    </row>
    <row r="1024" spans="1:19" ht="15" customHeight="1">
      <c r="A1024" s="9"/>
      <c r="B1024" s="9"/>
      <c r="C1024" s="1">
        <f>Tabela2[[#This Row],[Data
Pedido]]-Tabela2[[#This Row],[Data Última Aprovação RC]]</f>
        <v>0</v>
      </c>
      <c r="J1024" s="1" t="str">
        <f t="shared" ca="1" si="25"/>
        <v/>
      </c>
      <c r="K1024" s="11">
        <f>Tabela2[[#This Row],[SLA
Padrão]]-Tabela2[[#This Row],[SLA Atendimento]]</f>
        <v>0</v>
      </c>
      <c r="L1024" s="11"/>
      <c r="O1024" s="1" t="s">
        <v>30</v>
      </c>
      <c r="P1024" s="2">
        <f>Tabela2[[#This Row],[Proposta
 Inicial]]-Tabela2[[#This Row],[Proposta
 Negociada]]</f>
        <v>0</v>
      </c>
      <c r="Q1024" s="4" t="e">
        <f>Tabela2[[#This Row],[Proposta
 Negociada]]/Tabela2[[#This Row],[Proposta
 Inicial]]-1</f>
        <v>#DIV/0!</v>
      </c>
      <c r="S1024"/>
    </row>
    <row r="1025" spans="1:19" ht="15" customHeight="1">
      <c r="A1025" s="9"/>
      <c r="B1025" s="9"/>
      <c r="C1025" s="1">
        <f>Tabela2[[#This Row],[Data
Pedido]]-Tabela2[[#This Row],[Data Última Aprovação RC]]</f>
        <v>0</v>
      </c>
      <c r="J1025" s="1" t="str">
        <f t="shared" ca="1" si="25"/>
        <v/>
      </c>
      <c r="K1025" s="11">
        <f>Tabela2[[#This Row],[SLA
Padrão]]-Tabela2[[#This Row],[SLA Atendimento]]</f>
        <v>0</v>
      </c>
      <c r="L1025" s="11"/>
      <c r="O1025" s="1" t="s">
        <v>30</v>
      </c>
      <c r="P1025" s="2">
        <f>Tabela2[[#This Row],[Proposta
 Inicial]]-Tabela2[[#This Row],[Proposta
 Negociada]]</f>
        <v>0</v>
      </c>
      <c r="Q1025" s="4" t="e">
        <f>Tabela2[[#This Row],[Proposta
 Negociada]]/Tabela2[[#This Row],[Proposta
 Inicial]]-1</f>
        <v>#DIV/0!</v>
      </c>
      <c r="S1025"/>
    </row>
    <row r="1026" spans="1:19" ht="15" customHeight="1">
      <c r="A1026" s="9"/>
      <c r="B1026" s="9"/>
      <c r="C1026" s="1">
        <f>Tabela2[[#This Row],[Data
Pedido]]-Tabela2[[#This Row],[Data Última Aprovação RC]]</f>
        <v>0</v>
      </c>
      <c r="J1026" s="1" t="str">
        <f t="shared" ca="1" si="25"/>
        <v/>
      </c>
      <c r="K1026" s="11">
        <f>Tabela2[[#This Row],[SLA
Padrão]]-Tabela2[[#This Row],[SLA Atendimento]]</f>
        <v>0</v>
      </c>
      <c r="L1026" s="11"/>
      <c r="O1026" s="1" t="s">
        <v>30</v>
      </c>
      <c r="P1026" s="2">
        <f>Tabela2[[#This Row],[Proposta
 Inicial]]-Tabela2[[#This Row],[Proposta
 Negociada]]</f>
        <v>0</v>
      </c>
      <c r="Q1026" s="4" t="e">
        <f>Tabela2[[#This Row],[Proposta
 Negociada]]/Tabela2[[#This Row],[Proposta
 Inicial]]-1</f>
        <v>#DIV/0!</v>
      </c>
      <c r="S1026"/>
    </row>
    <row r="1027" spans="1:19" ht="15" customHeight="1">
      <c r="A1027" s="9"/>
      <c r="B1027" s="9"/>
      <c r="C1027" s="1">
        <f>Tabela2[[#This Row],[Data
Pedido]]-Tabela2[[#This Row],[Data Última Aprovação RC]]</f>
        <v>0</v>
      </c>
      <c r="J1027" s="1" t="str">
        <f t="shared" ca="1" si="25"/>
        <v/>
      </c>
      <c r="K1027" s="11">
        <f>Tabela2[[#This Row],[SLA
Padrão]]-Tabela2[[#This Row],[SLA Atendimento]]</f>
        <v>0</v>
      </c>
      <c r="L1027" s="11"/>
      <c r="O1027" s="1" t="s">
        <v>30</v>
      </c>
      <c r="P1027" s="2">
        <f>Tabela2[[#This Row],[Proposta
 Inicial]]-Tabela2[[#This Row],[Proposta
 Negociada]]</f>
        <v>0</v>
      </c>
      <c r="Q1027" s="4" t="e">
        <f>Tabela2[[#This Row],[Proposta
 Negociada]]/Tabela2[[#This Row],[Proposta
 Inicial]]-1</f>
        <v>#DIV/0!</v>
      </c>
      <c r="S1027"/>
    </row>
    <row r="1028" spans="1:19" ht="15" customHeight="1">
      <c r="A1028" s="9"/>
      <c r="B1028" s="9"/>
      <c r="C1028" s="1">
        <f>Tabela2[[#This Row],[Data
Pedido]]-Tabela2[[#This Row],[Data Última Aprovação RC]]</f>
        <v>0</v>
      </c>
      <c r="J1028" s="1" t="str">
        <f t="shared" ca="1" si="25"/>
        <v/>
      </c>
      <c r="K1028" s="11">
        <f>Tabela2[[#This Row],[SLA
Padrão]]-Tabela2[[#This Row],[SLA Atendimento]]</f>
        <v>0</v>
      </c>
      <c r="L1028" s="11"/>
      <c r="O1028" s="1" t="s">
        <v>30</v>
      </c>
      <c r="P1028" s="2">
        <f>Tabela2[[#This Row],[Proposta
 Inicial]]-Tabela2[[#This Row],[Proposta
 Negociada]]</f>
        <v>0</v>
      </c>
      <c r="Q1028" s="4" t="e">
        <f>Tabela2[[#This Row],[Proposta
 Negociada]]/Tabela2[[#This Row],[Proposta
 Inicial]]-1</f>
        <v>#DIV/0!</v>
      </c>
      <c r="S1028"/>
    </row>
    <row r="1029" spans="1:19" ht="15" customHeight="1">
      <c r="A1029" s="9"/>
      <c r="B1029" s="9"/>
      <c r="C1029" s="1">
        <f>Tabela2[[#This Row],[Data
Pedido]]-Tabela2[[#This Row],[Data Última Aprovação RC]]</f>
        <v>0</v>
      </c>
      <c r="J1029" s="1" t="str">
        <f t="shared" ca="1" si="25"/>
        <v/>
      </c>
      <c r="K1029" s="11">
        <f>Tabela2[[#This Row],[SLA
Padrão]]-Tabela2[[#This Row],[SLA Atendimento]]</f>
        <v>0</v>
      </c>
      <c r="L1029" s="11"/>
      <c r="O1029" s="1" t="s">
        <v>30</v>
      </c>
      <c r="P1029" s="2">
        <f>Tabela2[[#This Row],[Proposta
 Inicial]]-Tabela2[[#This Row],[Proposta
 Negociada]]</f>
        <v>0</v>
      </c>
      <c r="Q1029" s="4" t="e">
        <f>Tabela2[[#This Row],[Proposta
 Negociada]]/Tabela2[[#This Row],[Proposta
 Inicial]]-1</f>
        <v>#DIV/0!</v>
      </c>
      <c r="S1029"/>
    </row>
    <row r="1030" spans="1:19" ht="15" customHeight="1">
      <c r="A1030" s="9"/>
      <c r="B1030" s="9"/>
      <c r="C1030" s="1">
        <f>Tabela2[[#This Row],[Data
Pedido]]-Tabela2[[#This Row],[Data Última Aprovação RC]]</f>
        <v>0</v>
      </c>
      <c r="J1030" s="1" t="str">
        <f t="shared" ca="1" si="25"/>
        <v/>
      </c>
      <c r="K1030" s="11">
        <f>Tabela2[[#This Row],[SLA
Padrão]]-Tabela2[[#This Row],[SLA Atendimento]]</f>
        <v>0</v>
      </c>
      <c r="L1030" s="11"/>
      <c r="O1030" s="1" t="s">
        <v>30</v>
      </c>
      <c r="P1030" s="2">
        <f>Tabela2[[#This Row],[Proposta
 Inicial]]-Tabela2[[#This Row],[Proposta
 Negociada]]</f>
        <v>0</v>
      </c>
      <c r="Q1030" s="4" t="e">
        <f>Tabela2[[#This Row],[Proposta
 Negociada]]/Tabela2[[#This Row],[Proposta
 Inicial]]-1</f>
        <v>#DIV/0!</v>
      </c>
      <c r="S1030"/>
    </row>
    <row r="1031" spans="1:19" ht="15" customHeight="1">
      <c r="A1031" s="9"/>
      <c r="B1031" s="9"/>
      <c r="C1031" s="1">
        <f>Tabela2[[#This Row],[Data
Pedido]]-Tabela2[[#This Row],[Data Última Aprovação RC]]</f>
        <v>0</v>
      </c>
      <c r="J1031" s="1" t="str">
        <f t="shared" ca="1" si="25"/>
        <v/>
      </c>
      <c r="K1031" s="11">
        <f>Tabela2[[#This Row],[SLA
Padrão]]-Tabela2[[#This Row],[SLA Atendimento]]</f>
        <v>0</v>
      </c>
      <c r="L1031" s="11"/>
      <c r="O1031" s="1" t="s">
        <v>30</v>
      </c>
      <c r="P1031" s="2">
        <f>Tabela2[[#This Row],[Proposta
 Inicial]]-Tabela2[[#This Row],[Proposta
 Negociada]]</f>
        <v>0</v>
      </c>
      <c r="Q1031" s="4" t="e">
        <f>Tabela2[[#This Row],[Proposta
 Negociada]]/Tabela2[[#This Row],[Proposta
 Inicial]]-1</f>
        <v>#DIV/0!</v>
      </c>
      <c r="S1031"/>
    </row>
    <row r="1032" spans="1:19" ht="15" customHeight="1">
      <c r="A1032" s="9"/>
      <c r="B1032" s="9"/>
      <c r="C1032" s="1">
        <f>Tabela2[[#This Row],[Data
Pedido]]-Tabela2[[#This Row],[Data Última Aprovação RC]]</f>
        <v>0</v>
      </c>
      <c r="J1032" s="1" t="str">
        <f t="shared" ca="1" si="25"/>
        <v/>
      </c>
      <c r="K1032" s="11">
        <f>Tabela2[[#This Row],[SLA
Padrão]]-Tabela2[[#This Row],[SLA Atendimento]]</f>
        <v>0</v>
      </c>
      <c r="L1032" s="11"/>
      <c r="O1032" s="1" t="s">
        <v>30</v>
      </c>
      <c r="P1032" s="2">
        <f>Tabela2[[#This Row],[Proposta
 Inicial]]-Tabela2[[#This Row],[Proposta
 Negociada]]</f>
        <v>0</v>
      </c>
      <c r="Q1032" s="4" t="e">
        <f>Tabela2[[#This Row],[Proposta
 Negociada]]/Tabela2[[#This Row],[Proposta
 Inicial]]-1</f>
        <v>#DIV/0!</v>
      </c>
      <c r="S1032"/>
    </row>
    <row r="1033" spans="1:19" ht="15" customHeight="1">
      <c r="A1033" s="9"/>
      <c r="B1033" s="9"/>
      <c r="C1033" s="1">
        <f>Tabela2[[#This Row],[Data
Pedido]]-Tabela2[[#This Row],[Data Última Aprovação RC]]</f>
        <v>0</v>
      </c>
      <c r="J1033" s="1" t="str">
        <f t="shared" ca="1" si="25"/>
        <v/>
      </c>
      <c r="K1033" s="11">
        <f>Tabela2[[#This Row],[SLA
Padrão]]-Tabela2[[#This Row],[SLA Atendimento]]</f>
        <v>0</v>
      </c>
      <c r="L1033" s="11"/>
      <c r="O1033" s="1" t="s">
        <v>30</v>
      </c>
      <c r="P1033" s="2">
        <f>Tabela2[[#This Row],[Proposta
 Inicial]]-Tabela2[[#This Row],[Proposta
 Negociada]]</f>
        <v>0</v>
      </c>
      <c r="Q1033" s="4" t="e">
        <f>Tabela2[[#This Row],[Proposta
 Negociada]]/Tabela2[[#This Row],[Proposta
 Inicial]]-1</f>
        <v>#DIV/0!</v>
      </c>
      <c r="S1033"/>
    </row>
    <row r="1034" spans="1:19" ht="15" customHeight="1">
      <c r="A1034" s="9"/>
      <c r="B1034" s="9"/>
      <c r="C1034" s="1">
        <f>Tabela2[[#This Row],[Data
Pedido]]-Tabela2[[#This Row],[Data Última Aprovação RC]]</f>
        <v>0</v>
      </c>
      <c r="J1034" s="1" t="str">
        <f t="shared" ca="1" si="25"/>
        <v/>
      </c>
      <c r="K1034" s="11">
        <f>Tabela2[[#This Row],[SLA
Padrão]]-Tabela2[[#This Row],[SLA Atendimento]]</f>
        <v>0</v>
      </c>
      <c r="L1034" s="11"/>
      <c r="O1034" s="1" t="s">
        <v>30</v>
      </c>
      <c r="P1034" s="2">
        <f>Tabela2[[#This Row],[Proposta
 Inicial]]-Tabela2[[#This Row],[Proposta
 Negociada]]</f>
        <v>0</v>
      </c>
      <c r="Q1034" s="4" t="e">
        <f>Tabela2[[#This Row],[Proposta
 Negociada]]/Tabela2[[#This Row],[Proposta
 Inicial]]-1</f>
        <v>#DIV/0!</v>
      </c>
      <c r="S1034"/>
    </row>
    <row r="1035" spans="1:19" ht="15" customHeight="1">
      <c r="A1035" s="9"/>
      <c r="B1035" s="9"/>
      <c r="C1035" s="1">
        <f>Tabela2[[#This Row],[Data
Pedido]]-Tabela2[[#This Row],[Data Última Aprovação RC]]</f>
        <v>0</v>
      </c>
      <c r="J1035" s="1" t="str">
        <f t="shared" ca="1" si="25"/>
        <v/>
      </c>
      <c r="K1035" s="11">
        <f>Tabela2[[#This Row],[SLA
Padrão]]-Tabela2[[#This Row],[SLA Atendimento]]</f>
        <v>0</v>
      </c>
      <c r="L1035" s="11"/>
      <c r="O1035" s="1" t="s">
        <v>30</v>
      </c>
      <c r="P1035" s="2">
        <f>Tabela2[[#This Row],[Proposta
 Inicial]]-Tabela2[[#This Row],[Proposta
 Negociada]]</f>
        <v>0</v>
      </c>
      <c r="Q1035" s="4" t="e">
        <f>Tabela2[[#This Row],[Proposta
 Negociada]]/Tabela2[[#This Row],[Proposta
 Inicial]]-1</f>
        <v>#DIV/0!</v>
      </c>
      <c r="S1035"/>
    </row>
    <row r="1036" spans="1:19" ht="15" customHeight="1">
      <c r="A1036" s="9"/>
      <c r="B1036" s="9"/>
      <c r="C1036" s="1">
        <f>Tabela2[[#This Row],[Data
Pedido]]-Tabela2[[#This Row],[Data Última Aprovação RC]]</f>
        <v>0</v>
      </c>
      <c r="J1036" s="1" t="str">
        <f t="shared" ca="1" si="25"/>
        <v/>
      </c>
      <c r="K1036" s="11">
        <f>Tabela2[[#This Row],[SLA
Padrão]]-Tabela2[[#This Row],[SLA Atendimento]]</f>
        <v>0</v>
      </c>
      <c r="L1036" s="11"/>
      <c r="O1036" s="1" t="s">
        <v>30</v>
      </c>
      <c r="P1036" s="2">
        <f>Tabela2[[#This Row],[Proposta
 Inicial]]-Tabela2[[#This Row],[Proposta
 Negociada]]</f>
        <v>0</v>
      </c>
      <c r="Q1036" s="4" t="e">
        <f>Tabela2[[#This Row],[Proposta
 Negociada]]/Tabela2[[#This Row],[Proposta
 Inicial]]-1</f>
        <v>#DIV/0!</v>
      </c>
      <c r="S1036"/>
    </row>
    <row r="1037" spans="1:19" ht="15" customHeight="1">
      <c r="A1037" s="9"/>
      <c r="B1037" s="9"/>
      <c r="C1037" s="1">
        <f>Tabela2[[#This Row],[Data
Pedido]]-Tabela2[[#This Row],[Data Última Aprovação RC]]</f>
        <v>0</v>
      </c>
      <c r="J1037" s="1" t="str">
        <f t="shared" ca="1" si="25"/>
        <v/>
      </c>
      <c r="K1037" s="11">
        <f>Tabela2[[#This Row],[SLA
Padrão]]-Tabela2[[#This Row],[SLA Atendimento]]</f>
        <v>0</v>
      </c>
      <c r="L1037" s="11"/>
      <c r="O1037" s="1" t="s">
        <v>30</v>
      </c>
      <c r="P1037" s="2">
        <f>Tabela2[[#This Row],[Proposta
 Inicial]]-Tabela2[[#This Row],[Proposta
 Negociada]]</f>
        <v>0</v>
      </c>
      <c r="Q1037" s="4" t="e">
        <f>Tabela2[[#This Row],[Proposta
 Negociada]]/Tabela2[[#This Row],[Proposta
 Inicial]]-1</f>
        <v>#DIV/0!</v>
      </c>
      <c r="S1037"/>
    </row>
    <row r="1038" spans="1:19" ht="15" customHeight="1">
      <c r="A1038" s="9"/>
      <c r="B1038" s="9"/>
      <c r="C1038" s="1">
        <f>Tabela2[[#This Row],[Data
Pedido]]-Tabela2[[#This Row],[Data Última Aprovação RC]]</f>
        <v>0</v>
      </c>
      <c r="J1038" s="1" t="str">
        <f t="shared" ca="1" si="25"/>
        <v/>
      </c>
      <c r="K1038" s="11">
        <f>Tabela2[[#This Row],[SLA
Padrão]]-Tabela2[[#This Row],[SLA Atendimento]]</f>
        <v>0</v>
      </c>
      <c r="L1038" s="11"/>
      <c r="O1038" s="1" t="s">
        <v>30</v>
      </c>
      <c r="P1038" s="2">
        <f>Tabela2[[#This Row],[Proposta
 Inicial]]-Tabela2[[#This Row],[Proposta
 Negociada]]</f>
        <v>0</v>
      </c>
      <c r="Q1038" s="4" t="e">
        <f>Tabela2[[#This Row],[Proposta
 Negociada]]/Tabela2[[#This Row],[Proposta
 Inicial]]-1</f>
        <v>#DIV/0!</v>
      </c>
      <c r="S1038"/>
    </row>
    <row r="1039" spans="1:19" ht="15" customHeight="1">
      <c r="A1039" s="9"/>
      <c r="B1039" s="9"/>
      <c r="C1039" s="1">
        <f>Tabela2[[#This Row],[Data
Pedido]]-Tabela2[[#This Row],[Data Última Aprovação RC]]</f>
        <v>0</v>
      </c>
      <c r="J1039" s="1" t="str">
        <f t="shared" ca="1" si="25"/>
        <v/>
      </c>
      <c r="K1039" s="11">
        <f>Tabela2[[#This Row],[SLA
Padrão]]-Tabela2[[#This Row],[SLA Atendimento]]</f>
        <v>0</v>
      </c>
      <c r="L1039" s="11"/>
      <c r="O1039" s="1" t="s">
        <v>30</v>
      </c>
      <c r="P1039" s="2">
        <f>Tabela2[[#This Row],[Proposta
 Inicial]]-Tabela2[[#This Row],[Proposta
 Negociada]]</f>
        <v>0</v>
      </c>
      <c r="Q1039" s="4" t="e">
        <f>Tabela2[[#This Row],[Proposta
 Negociada]]/Tabela2[[#This Row],[Proposta
 Inicial]]-1</f>
        <v>#DIV/0!</v>
      </c>
      <c r="S1039"/>
    </row>
    <row r="1040" spans="1:19" ht="15" customHeight="1">
      <c r="A1040" s="9"/>
      <c r="B1040" s="9"/>
      <c r="C1040" s="1">
        <f>Tabela2[[#This Row],[Data
Pedido]]-Tabela2[[#This Row],[Data Última Aprovação RC]]</f>
        <v>0</v>
      </c>
      <c r="J1040" s="1" t="str">
        <f t="shared" ca="1" si="25"/>
        <v/>
      </c>
      <c r="K1040" s="11">
        <f>Tabela2[[#This Row],[SLA
Padrão]]-Tabela2[[#This Row],[SLA Atendimento]]</f>
        <v>0</v>
      </c>
      <c r="L1040" s="11"/>
      <c r="O1040" s="1" t="s">
        <v>30</v>
      </c>
      <c r="P1040" s="2">
        <f>Tabela2[[#This Row],[Proposta
 Inicial]]-Tabela2[[#This Row],[Proposta
 Negociada]]</f>
        <v>0</v>
      </c>
      <c r="Q1040" s="4" t="e">
        <f>Tabela2[[#This Row],[Proposta
 Negociada]]/Tabela2[[#This Row],[Proposta
 Inicial]]-1</f>
        <v>#DIV/0!</v>
      </c>
      <c r="S1040"/>
    </row>
    <row r="1041" spans="1:19" ht="15" customHeight="1">
      <c r="A1041" s="9"/>
      <c r="B1041" s="9"/>
      <c r="C1041" s="1">
        <f>Tabela2[[#This Row],[Data
Pedido]]-Tabela2[[#This Row],[Data Última Aprovação RC]]</f>
        <v>0</v>
      </c>
      <c r="J1041" s="1" t="str">
        <f t="shared" ca="1" si="25"/>
        <v/>
      </c>
      <c r="K1041" s="11">
        <f>Tabela2[[#This Row],[SLA
Padrão]]-Tabela2[[#This Row],[SLA Atendimento]]</f>
        <v>0</v>
      </c>
      <c r="L1041" s="11"/>
      <c r="O1041" s="1" t="s">
        <v>30</v>
      </c>
      <c r="P1041" s="2">
        <f>Tabela2[[#This Row],[Proposta
 Inicial]]-Tabela2[[#This Row],[Proposta
 Negociada]]</f>
        <v>0</v>
      </c>
      <c r="Q1041" s="4" t="e">
        <f>Tabela2[[#This Row],[Proposta
 Negociada]]/Tabela2[[#This Row],[Proposta
 Inicial]]-1</f>
        <v>#DIV/0!</v>
      </c>
      <c r="S1041"/>
    </row>
    <row r="1042" spans="1:19" ht="15" customHeight="1">
      <c r="A1042" s="9"/>
      <c r="B1042" s="9"/>
      <c r="C1042" s="1">
        <f>Tabela2[[#This Row],[Data
Pedido]]-Tabela2[[#This Row],[Data Última Aprovação RC]]</f>
        <v>0</v>
      </c>
      <c r="J1042" s="1" t="str">
        <f t="shared" ca="1" si="25"/>
        <v/>
      </c>
      <c r="K1042" s="11">
        <f>Tabela2[[#This Row],[SLA
Padrão]]-Tabela2[[#This Row],[SLA Atendimento]]</f>
        <v>0</v>
      </c>
      <c r="L1042" s="11"/>
      <c r="O1042" s="1" t="s">
        <v>30</v>
      </c>
      <c r="P1042" s="2">
        <f>Tabela2[[#This Row],[Proposta
 Inicial]]-Tabela2[[#This Row],[Proposta
 Negociada]]</f>
        <v>0</v>
      </c>
      <c r="Q1042" s="4" t="e">
        <f>Tabela2[[#This Row],[Proposta
 Negociada]]/Tabela2[[#This Row],[Proposta
 Inicial]]-1</f>
        <v>#DIV/0!</v>
      </c>
      <c r="S1042"/>
    </row>
    <row r="1043" spans="1:19" ht="15" customHeight="1">
      <c r="A1043" s="9"/>
      <c r="B1043" s="9"/>
      <c r="C1043" s="1">
        <f>Tabela2[[#This Row],[Data
Pedido]]-Tabela2[[#This Row],[Data Última Aprovação RC]]</f>
        <v>0</v>
      </c>
      <c r="J1043" s="1" t="str">
        <f t="shared" ca="1" si="25"/>
        <v/>
      </c>
      <c r="K1043" s="11">
        <f>Tabela2[[#This Row],[SLA
Padrão]]-Tabela2[[#This Row],[SLA Atendimento]]</f>
        <v>0</v>
      </c>
      <c r="L1043" s="11"/>
      <c r="O1043" s="1" t="s">
        <v>30</v>
      </c>
      <c r="P1043" s="2">
        <f>Tabela2[[#This Row],[Proposta
 Inicial]]-Tabela2[[#This Row],[Proposta
 Negociada]]</f>
        <v>0</v>
      </c>
      <c r="Q1043" s="4" t="e">
        <f>Tabela2[[#This Row],[Proposta
 Negociada]]/Tabela2[[#This Row],[Proposta
 Inicial]]-1</f>
        <v>#DIV/0!</v>
      </c>
      <c r="S1043"/>
    </row>
    <row r="1044" spans="1:19" ht="15" customHeight="1">
      <c r="A1044" s="9"/>
      <c r="B1044" s="9"/>
      <c r="C1044" s="1">
        <f>Tabela2[[#This Row],[Data
Pedido]]-Tabela2[[#This Row],[Data Última Aprovação RC]]</f>
        <v>0</v>
      </c>
      <c r="J1044" s="1" t="str">
        <f t="shared" ca="1" si="25"/>
        <v/>
      </c>
      <c r="K1044" s="11">
        <f>Tabela2[[#This Row],[SLA
Padrão]]-Tabela2[[#This Row],[SLA Atendimento]]</f>
        <v>0</v>
      </c>
      <c r="L1044" s="11"/>
      <c r="O1044" s="1" t="s">
        <v>30</v>
      </c>
      <c r="P1044" s="2">
        <f>Tabela2[[#This Row],[Proposta
 Inicial]]-Tabela2[[#This Row],[Proposta
 Negociada]]</f>
        <v>0</v>
      </c>
      <c r="Q1044" s="4" t="e">
        <f>Tabela2[[#This Row],[Proposta
 Negociada]]/Tabela2[[#This Row],[Proposta
 Inicial]]-1</f>
        <v>#DIV/0!</v>
      </c>
      <c r="S1044"/>
    </row>
    <row r="1045" spans="1:19" ht="15" customHeight="1">
      <c r="A1045" s="9"/>
      <c r="B1045" s="9"/>
      <c r="C1045" s="1">
        <f>Tabela2[[#This Row],[Data
Pedido]]-Tabela2[[#This Row],[Data Última Aprovação RC]]</f>
        <v>0</v>
      </c>
      <c r="J1045" s="1" t="str">
        <f t="shared" ca="1" si="25"/>
        <v/>
      </c>
      <c r="K1045" s="11">
        <f>Tabela2[[#This Row],[SLA
Padrão]]-Tabela2[[#This Row],[SLA Atendimento]]</f>
        <v>0</v>
      </c>
      <c r="L1045" s="11"/>
      <c r="O1045" s="1" t="s">
        <v>30</v>
      </c>
      <c r="P1045" s="2">
        <f>Tabela2[[#This Row],[Proposta
 Inicial]]-Tabela2[[#This Row],[Proposta
 Negociada]]</f>
        <v>0</v>
      </c>
      <c r="Q1045" s="4" t="e">
        <f>Tabela2[[#This Row],[Proposta
 Negociada]]/Tabela2[[#This Row],[Proposta
 Inicial]]-1</f>
        <v>#DIV/0!</v>
      </c>
      <c r="S1045"/>
    </row>
    <row r="1046" spans="1:19" ht="15" customHeight="1">
      <c r="A1046" s="9"/>
      <c r="B1046" s="9"/>
      <c r="C1046" s="1">
        <f>Tabela2[[#This Row],[Data
Pedido]]-Tabela2[[#This Row],[Data Última Aprovação RC]]</f>
        <v>0</v>
      </c>
      <c r="J1046" s="1" t="str">
        <f t="shared" ca="1" si="25"/>
        <v/>
      </c>
      <c r="K1046" s="11">
        <f>Tabela2[[#This Row],[SLA
Padrão]]-Tabela2[[#This Row],[SLA Atendimento]]</f>
        <v>0</v>
      </c>
      <c r="L1046" s="11"/>
      <c r="O1046" s="1" t="s">
        <v>30</v>
      </c>
      <c r="P1046" s="2">
        <f>Tabela2[[#This Row],[Proposta
 Inicial]]-Tabela2[[#This Row],[Proposta
 Negociada]]</f>
        <v>0</v>
      </c>
      <c r="Q1046" s="4" t="e">
        <f>Tabela2[[#This Row],[Proposta
 Negociada]]/Tabela2[[#This Row],[Proposta
 Inicial]]-1</f>
        <v>#DIV/0!</v>
      </c>
      <c r="S1046"/>
    </row>
    <row r="1047" spans="1:19" ht="15" customHeight="1">
      <c r="A1047" s="9"/>
      <c r="B1047" s="9"/>
      <c r="C1047" s="1">
        <f>Tabela2[[#This Row],[Data
Pedido]]-Tabela2[[#This Row],[Data Última Aprovação RC]]</f>
        <v>0</v>
      </c>
      <c r="J1047" s="1" t="str">
        <f t="shared" ca="1" si="25"/>
        <v/>
      </c>
      <c r="K1047" s="11">
        <f>Tabela2[[#This Row],[SLA
Padrão]]-Tabela2[[#This Row],[SLA Atendimento]]</f>
        <v>0</v>
      </c>
      <c r="L1047" s="11"/>
      <c r="O1047" s="1" t="s">
        <v>30</v>
      </c>
      <c r="P1047" s="2">
        <f>Tabela2[[#This Row],[Proposta
 Inicial]]-Tabela2[[#This Row],[Proposta
 Negociada]]</f>
        <v>0</v>
      </c>
      <c r="Q1047" s="4" t="e">
        <f>Tabela2[[#This Row],[Proposta
 Negociada]]/Tabela2[[#This Row],[Proposta
 Inicial]]-1</f>
        <v>#DIV/0!</v>
      </c>
      <c r="S1047"/>
    </row>
    <row r="1048" spans="1:19" ht="15" customHeight="1">
      <c r="A1048" s="9"/>
      <c r="B1048" s="9"/>
      <c r="C1048" s="1">
        <f>Tabela2[[#This Row],[Data
Pedido]]-Tabela2[[#This Row],[Data Última Aprovação RC]]</f>
        <v>0</v>
      </c>
      <c r="J1048" s="1" t="str">
        <f t="shared" ca="1" si="25"/>
        <v/>
      </c>
      <c r="K1048" s="11">
        <f>Tabela2[[#This Row],[SLA
Padrão]]-Tabela2[[#This Row],[SLA Atendimento]]</f>
        <v>0</v>
      </c>
      <c r="L1048" s="11"/>
      <c r="O1048" s="1" t="s">
        <v>30</v>
      </c>
      <c r="P1048" s="2">
        <f>Tabela2[[#This Row],[Proposta
 Inicial]]-Tabela2[[#This Row],[Proposta
 Negociada]]</f>
        <v>0</v>
      </c>
      <c r="Q1048" s="4" t="e">
        <f>Tabela2[[#This Row],[Proposta
 Negociada]]/Tabela2[[#This Row],[Proposta
 Inicial]]-1</f>
        <v>#DIV/0!</v>
      </c>
      <c r="S1048"/>
    </row>
    <row r="1049" spans="1:19" ht="15" customHeight="1">
      <c r="A1049" s="9"/>
      <c r="B1049" s="9"/>
      <c r="C1049" s="1">
        <f>Tabela2[[#This Row],[Data
Pedido]]-Tabela2[[#This Row],[Data Última Aprovação RC]]</f>
        <v>0</v>
      </c>
      <c r="J1049" s="1" t="str">
        <f t="shared" ca="1" si="25"/>
        <v/>
      </c>
      <c r="K1049" s="11">
        <f>Tabela2[[#This Row],[SLA
Padrão]]-Tabela2[[#This Row],[SLA Atendimento]]</f>
        <v>0</v>
      </c>
      <c r="L1049" s="11"/>
      <c r="O1049" s="1" t="s">
        <v>30</v>
      </c>
      <c r="P1049" s="2">
        <f>Tabela2[[#This Row],[Proposta
 Inicial]]-Tabela2[[#This Row],[Proposta
 Negociada]]</f>
        <v>0</v>
      </c>
      <c r="Q1049" s="4" t="e">
        <f>Tabela2[[#This Row],[Proposta
 Negociada]]/Tabela2[[#This Row],[Proposta
 Inicial]]-1</f>
        <v>#DIV/0!</v>
      </c>
      <c r="S1049"/>
    </row>
    <row r="1050" spans="1:19" ht="15" customHeight="1">
      <c r="A1050" s="9"/>
      <c r="B1050" s="9"/>
      <c r="C1050" s="1">
        <f>Tabela2[[#This Row],[Data
Pedido]]-Tabela2[[#This Row],[Data Última Aprovação RC]]</f>
        <v>0</v>
      </c>
      <c r="J1050" s="1" t="str">
        <f t="shared" ca="1" si="25"/>
        <v/>
      </c>
      <c r="K1050" s="11">
        <f>Tabela2[[#This Row],[SLA
Padrão]]-Tabela2[[#This Row],[SLA Atendimento]]</f>
        <v>0</v>
      </c>
      <c r="L1050" s="11"/>
      <c r="O1050" s="1" t="s">
        <v>30</v>
      </c>
      <c r="P1050" s="2">
        <f>Tabela2[[#This Row],[Proposta
 Inicial]]-Tabela2[[#This Row],[Proposta
 Negociada]]</f>
        <v>0</v>
      </c>
      <c r="Q1050" s="4" t="e">
        <f>Tabela2[[#This Row],[Proposta
 Negociada]]/Tabela2[[#This Row],[Proposta
 Inicial]]-1</f>
        <v>#DIV/0!</v>
      </c>
      <c r="S1050"/>
    </row>
    <row r="1051" spans="1:19" ht="15" customHeight="1">
      <c r="A1051" s="9"/>
      <c r="B1051" s="9"/>
      <c r="C1051" s="1">
        <f>Tabela2[[#This Row],[Data
Pedido]]-Tabela2[[#This Row],[Data Última Aprovação RC]]</f>
        <v>0</v>
      </c>
      <c r="J1051" s="1" t="str">
        <f t="shared" ca="1" si="25"/>
        <v/>
      </c>
      <c r="K1051" s="11">
        <f>Tabela2[[#This Row],[SLA
Padrão]]-Tabela2[[#This Row],[SLA Atendimento]]</f>
        <v>0</v>
      </c>
      <c r="L1051" s="11"/>
      <c r="O1051" s="1" t="s">
        <v>30</v>
      </c>
      <c r="P1051" s="2">
        <f>Tabela2[[#This Row],[Proposta
 Inicial]]-Tabela2[[#This Row],[Proposta
 Negociada]]</f>
        <v>0</v>
      </c>
      <c r="Q1051" s="4" t="e">
        <f>Tabela2[[#This Row],[Proposta
 Negociada]]/Tabela2[[#This Row],[Proposta
 Inicial]]-1</f>
        <v>#DIV/0!</v>
      </c>
      <c r="S1051"/>
    </row>
    <row r="1052" spans="1:19" ht="15" customHeight="1">
      <c r="A1052" s="9"/>
      <c r="B1052" s="9"/>
      <c r="C1052" s="1">
        <f>Tabela2[[#This Row],[Data
Pedido]]-Tabela2[[#This Row],[Data Última Aprovação RC]]</f>
        <v>0</v>
      </c>
      <c r="J1052" s="1" t="str">
        <f t="shared" ca="1" si="25"/>
        <v/>
      </c>
      <c r="K1052" s="11">
        <f>Tabela2[[#This Row],[SLA
Padrão]]-Tabela2[[#This Row],[SLA Atendimento]]</f>
        <v>0</v>
      </c>
      <c r="L1052" s="11"/>
      <c r="O1052" s="1" t="s">
        <v>30</v>
      </c>
      <c r="P1052" s="2">
        <f>Tabela2[[#This Row],[Proposta
 Inicial]]-Tabela2[[#This Row],[Proposta
 Negociada]]</f>
        <v>0</v>
      </c>
      <c r="Q1052" s="4" t="e">
        <f>Tabela2[[#This Row],[Proposta
 Negociada]]/Tabela2[[#This Row],[Proposta
 Inicial]]-1</f>
        <v>#DIV/0!</v>
      </c>
      <c r="S1052"/>
    </row>
    <row r="1053" spans="1:19" ht="15" customHeight="1">
      <c r="A1053" s="9"/>
      <c r="B1053" s="9"/>
      <c r="C1053" s="1">
        <f>Tabela2[[#This Row],[Data
Pedido]]-Tabela2[[#This Row],[Data Última Aprovação RC]]</f>
        <v>0</v>
      </c>
      <c r="J1053" s="1" t="str">
        <f t="shared" ca="1" si="25"/>
        <v/>
      </c>
      <c r="K1053" s="11">
        <f>Tabela2[[#This Row],[SLA
Padrão]]-Tabela2[[#This Row],[SLA Atendimento]]</f>
        <v>0</v>
      </c>
      <c r="L1053" s="11"/>
      <c r="O1053" s="1" t="s">
        <v>30</v>
      </c>
      <c r="P1053" s="2">
        <f>Tabela2[[#This Row],[Proposta
 Inicial]]-Tabela2[[#This Row],[Proposta
 Negociada]]</f>
        <v>0</v>
      </c>
      <c r="Q1053" s="4" t="e">
        <f>Tabela2[[#This Row],[Proposta
 Negociada]]/Tabela2[[#This Row],[Proposta
 Inicial]]-1</f>
        <v>#DIV/0!</v>
      </c>
      <c r="S1053"/>
    </row>
    <row r="1054" spans="1:19" ht="15" customHeight="1">
      <c r="A1054" s="9"/>
      <c r="B1054" s="9"/>
      <c r="C1054" s="1">
        <f>Tabela2[[#This Row],[Data
Pedido]]-Tabela2[[#This Row],[Data Última Aprovação RC]]</f>
        <v>0</v>
      </c>
      <c r="J1054" s="1" t="str">
        <f t="shared" ca="1" si="25"/>
        <v/>
      </c>
      <c r="K1054" s="11">
        <f>Tabela2[[#This Row],[SLA
Padrão]]-Tabela2[[#This Row],[SLA Atendimento]]</f>
        <v>0</v>
      </c>
      <c r="L1054" s="11"/>
      <c r="O1054" s="1" t="s">
        <v>30</v>
      </c>
      <c r="P1054" s="2">
        <f>Tabela2[[#This Row],[Proposta
 Inicial]]-Tabela2[[#This Row],[Proposta
 Negociada]]</f>
        <v>0</v>
      </c>
      <c r="Q1054" s="4" t="e">
        <f>Tabela2[[#This Row],[Proposta
 Negociada]]/Tabela2[[#This Row],[Proposta
 Inicial]]-1</f>
        <v>#DIV/0!</v>
      </c>
      <c r="S1054"/>
    </row>
    <row r="1055" spans="1:19" ht="15" customHeight="1">
      <c r="A1055" s="9"/>
      <c r="B1055" s="9"/>
      <c r="C1055" s="1">
        <f>Tabela2[[#This Row],[Data
Pedido]]-Tabela2[[#This Row],[Data Última Aprovação RC]]</f>
        <v>0</v>
      </c>
      <c r="J1055" s="1" t="str">
        <f t="shared" ca="1" si="25"/>
        <v/>
      </c>
      <c r="K1055" s="11">
        <f>Tabela2[[#This Row],[SLA
Padrão]]-Tabela2[[#This Row],[SLA Atendimento]]</f>
        <v>0</v>
      </c>
      <c r="L1055" s="11"/>
      <c r="O1055" s="1" t="s">
        <v>30</v>
      </c>
      <c r="P1055" s="2">
        <f>Tabela2[[#This Row],[Proposta
 Inicial]]-Tabela2[[#This Row],[Proposta
 Negociada]]</f>
        <v>0</v>
      </c>
      <c r="Q1055" s="4" t="e">
        <f>Tabela2[[#This Row],[Proposta
 Negociada]]/Tabela2[[#This Row],[Proposta
 Inicial]]-1</f>
        <v>#DIV/0!</v>
      </c>
      <c r="S1055"/>
    </row>
    <row r="1056" spans="1:19" ht="15" customHeight="1">
      <c r="A1056" s="9"/>
      <c r="B1056" s="9"/>
      <c r="C1056" s="1">
        <f>Tabela2[[#This Row],[Data
Pedido]]-Tabela2[[#This Row],[Data Última Aprovação RC]]</f>
        <v>0</v>
      </c>
      <c r="J1056" s="1" t="str">
        <f t="shared" ca="1" si="25"/>
        <v/>
      </c>
      <c r="K1056" s="11">
        <f>Tabela2[[#This Row],[SLA
Padrão]]-Tabela2[[#This Row],[SLA Atendimento]]</f>
        <v>0</v>
      </c>
      <c r="L1056" s="11"/>
      <c r="O1056" s="1" t="s">
        <v>30</v>
      </c>
      <c r="P1056" s="2">
        <f>Tabela2[[#This Row],[Proposta
 Inicial]]-Tabela2[[#This Row],[Proposta
 Negociada]]</f>
        <v>0</v>
      </c>
      <c r="Q1056" s="4" t="e">
        <f>Tabela2[[#This Row],[Proposta
 Negociada]]/Tabela2[[#This Row],[Proposta
 Inicial]]-1</f>
        <v>#DIV/0!</v>
      </c>
      <c r="S1056"/>
    </row>
    <row r="1057" spans="1:19" ht="15" customHeight="1">
      <c r="A1057" s="9"/>
      <c r="B1057" s="9"/>
      <c r="C1057" s="1">
        <f>Tabela2[[#This Row],[Data
Pedido]]-Tabela2[[#This Row],[Data Última Aprovação RC]]</f>
        <v>0</v>
      </c>
      <c r="J1057" s="1" t="str">
        <f t="shared" ca="1" si="25"/>
        <v/>
      </c>
      <c r="K1057" s="11">
        <f>Tabela2[[#This Row],[SLA
Padrão]]-Tabela2[[#This Row],[SLA Atendimento]]</f>
        <v>0</v>
      </c>
      <c r="L1057" s="11"/>
      <c r="O1057" s="1" t="s">
        <v>30</v>
      </c>
      <c r="P1057" s="2">
        <f>Tabela2[[#This Row],[Proposta
 Inicial]]-Tabela2[[#This Row],[Proposta
 Negociada]]</f>
        <v>0</v>
      </c>
      <c r="Q1057" s="4" t="e">
        <f>Tabela2[[#This Row],[Proposta
 Negociada]]/Tabela2[[#This Row],[Proposta
 Inicial]]-1</f>
        <v>#DIV/0!</v>
      </c>
      <c r="S1057"/>
    </row>
    <row r="1058" spans="1:19" ht="15" customHeight="1">
      <c r="A1058" s="9"/>
      <c r="B1058" s="9"/>
      <c r="C1058" s="1">
        <f>Tabela2[[#This Row],[Data
Pedido]]-Tabela2[[#This Row],[Data Última Aprovação RC]]</f>
        <v>0</v>
      </c>
      <c r="J1058" s="1" t="str">
        <f t="shared" ca="1" si="25"/>
        <v/>
      </c>
      <c r="K1058" s="11">
        <f>Tabela2[[#This Row],[SLA
Padrão]]-Tabela2[[#This Row],[SLA Atendimento]]</f>
        <v>0</v>
      </c>
      <c r="L1058" s="11"/>
      <c r="O1058" s="1" t="s">
        <v>30</v>
      </c>
      <c r="P1058" s="2">
        <f>Tabela2[[#This Row],[Proposta
 Inicial]]-Tabela2[[#This Row],[Proposta
 Negociada]]</f>
        <v>0</v>
      </c>
      <c r="Q1058" s="4" t="e">
        <f>Tabela2[[#This Row],[Proposta
 Negociada]]/Tabela2[[#This Row],[Proposta
 Inicial]]-1</f>
        <v>#DIV/0!</v>
      </c>
      <c r="S1058"/>
    </row>
    <row r="1059" spans="1:19" ht="15" customHeight="1">
      <c r="A1059" s="9"/>
      <c r="B1059" s="9"/>
      <c r="C1059" s="1">
        <f>Tabela2[[#This Row],[Data
Pedido]]-Tabela2[[#This Row],[Data Última Aprovação RC]]</f>
        <v>0</v>
      </c>
      <c r="J1059" s="1" t="str">
        <f t="shared" ca="1" si="25"/>
        <v/>
      </c>
      <c r="K1059" s="11">
        <f>Tabela2[[#This Row],[SLA
Padrão]]-Tabela2[[#This Row],[SLA Atendimento]]</f>
        <v>0</v>
      </c>
      <c r="L1059" s="11"/>
      <c r="O1059" s="1" t="s">
        <v>30</v>
      </c>
      <c r="P1059" s="2">
        <f>Tabela2[[#This Row],[Proposta
 Inicial]]-Tabela2[[#This Row],[Proposta
 Negociada]]</f>
        <v>0</v>
      </c>
      <c r="Q1059" s="4" t="e">
        <f>Tabela2[[#This Row],[Proposta
 Negociada]]/Tabela2[[#This Row],[Proposta
 Inicial]]-1</f>
        <v>#DIV/0!</v>
      </c>
      <c r="S1059"/>
    </row>
    <row r="1060" spans="1:19" ht="15" customHeight="1">
      <c r="A1060" s="9"/>
      <c r="B1060" s="9"/>
      <c r="C1060" s="1">
        <f>Tabela2[[#This Row],[Data
Pedido]]-Tabela2[[#This Row],[Data Última Aprovação RC]]</f>
        <v>0</v>
      </c>
      <c r="J1060" s="1" t="str">
        <f t="shared" ca="1" si="25"/>
        <v/>
      </c>
      <c r="K1060" s="11">
        <f>Tabela2[[#This Row],[SLA
Padrão]]-Tabela2[[#This Row],[SLA Atendimento]]</f>
        <v>0</v>
      </c>
      <c r="L1060" s="11"/>
      <c r="O1060" s="1" t="s">
        <v>30</v>
      </c>
      <c r="P1060" s="2">
        <f>Tabela2[[#This Row],[Proposta
 Inicial]]-Tabela2[[#This Row],[Proposta
 Negociada]]</f>
        <v>0</v>
      </c>
      <c r="Q1060" s="4" t="e">
        <f>Tabela2[[#This Row],[Proposta
 Negociada]]/Tabela2[[#This Row],[Proposta
 Inicial]]-1</f>
        <v>#DIV/0!</v>
      </c>
      <c r="S1060"/>
    </row>
    <row r="1061" spans="1:19" ht="15" customHeight="1">
      <c r="A1061" s="9"/>
      <c r="B1061" s="9"/>
      <c r="C1061" s="1">
        <f>Tabela2[[#This Row],[Data
Pedido]]-Tabela2[[#This Row],[Data Última Aprovação RC]]</f>
        <v>0</v>
      </c>
      <c r="J1061" s="1" t="str">
        <f t="shared" ca="1" si="25"/>
        <v/>
      </c>
      <c r="K1061" s="11">
        <f>Tabela2[[#This Row],[SLA
Padrão]]-Tabela2[[#This Row],[SLA Atendimento]]</f>
        <v>0</v>
      </c>
      <c r="L1061" s="11"/>
      <c r="O1061" s="1" t="s">
        <v>30</v>
      </c>
      <c r="P1061" s="2">
        <f>Tabela2[[#This Row],[Proposta
 Inicial]]-Tabela2[[#This Row],[Proposta
 Negociada]]</f>
        <v>0</v>
      </c>
      <c r="Q1061" s="4" t="e">
        <f>Tabela2[[#This Row],[Proposta
 Negociada]]/Tabela2[[#This Row],[Proposta
 Inicial]]-1</f>
        <v>#DIV/0!</v>
      </c>
      <c r="S1061"/>
    </row>
    <row r="1062" spans="1:19" ht="15" customHeight="1">
      <c r="A1062" s="9"/>
      <c r="B1062" s="9"/>
      <c r="C1062" s="1">
        <f>Tabela2[[#This Row],[Data
Pedido]]-Tabela2[[#This Row],[Data Última Aprovação RC]]</f>
        <v>0</v>
      </c>
      <c r="J1062" s="1" t="str">
        <f t="shared" ca="1" si="25"/>
        <v/>
      </c>
      <c r="K1062" s="11">
        <f>Tabela2[[#This Row],[SLA
Padrão]]-Tabela2[[#This Row],[SLA Atendimento]]</f>
        <v>0</v>
      </c>
      <c r="L1062" s="11"/>
      <c r="O1062" s="1" t="s">
        <v>30</v>
      </c>
      <c r="P1062" s="2">
        <f>Tabela2[[#This Row],[Proposta
 Inicial]]-Tabela2[[#This Row],[Proposta
 Negociada]]</f>
        <v>0</v>
      </c>
      <c r="Q1062" s="4" t="e">
        <f>Tabela2[[#This Row],[Proposta
 Negociada]]/Tabela2[[#This Row],[Proposta
 Inicial]]-1</f>
        <v>#DIV/0!</v>
      </c>
      <c r="S1062"/>
    </row>
    <row r="1063" spans="1:19" ht="15" customHeight="1">
      <c r="A1063" s="9"/>
      <c r="B1063" s="9"/>
      <c r="C1063" s="1">
        <f>Tabela2[[#This Row],[Data
Pedido]]-Tabela2[[#This Row],[Data Última Aprovação RC]]</f>
        <v>0</v>
      </c>
      <c r="J1063" s="1" t="str">
        <f t="shared" ca="1" si="25"/>
        <v/>
      </c>
      <c r="K1063" s="11">
        <f>Tabela2[[#This Row],[SLA
Padrão]]-Tabela2[[#This Row],[SLA Atendimento]]</f>
        <v>0</v>
      </c>
      <c r="L1063" s="11"/>
      <c r="O1063" s="1" t="s">
        <v>30</v>
      </c>
      <c r="P1063" s="2">
        <f>Tabela2[[#This Row],[Proposta
 Inicial]]-Tabela2[[#This Row],[Proposta
 Negociada]]</f>
        <v>0</v>
      </c>
      <c r="Q1063" s="4" t="e">
        <f>Tabela2[[#This Row],[Proposta
 Negociada]]/Tabela2[[#This Row],[Proposta
 Inicial]]-1</f>
        <v>#DIV/0!</v>
      </c>
      <c r="S1063"/>
    </row>
    <row r="1064" spans="1:19" ht="15" customHeight="1">
      <c r="A1064" s="9"/>
      <c r="B1064" s="9"/>
      <c r="C1064" s="1">
        <f>Tabela2[[#This Row],[Data
Pedido]]-Tabela2[[#This Row],[Data Última Aprovação RC]]</f>
        <v>0</v>
      </c>
      <c r="J1064" s="1" t="str">
        <f t="shared" ca="1" si="25"/>
        <v/>
      </c>
      <c r="K1064" s="11">
        <f>Tabela2[[#This Row],[SLA
Padrão]]-Tabela2[[#This Row],[SLA Atendimento]]</f>
        <v>0</v>
      </c>
      <c r="L1064" s="11"/>
      <c r="O1064" s="1" t="s">
        <v>30</v>
      </c>
      <c r="P1064" s="2">
        <f>Tabela2[[#This Row],[Proposta
 Inicial]]-Tabela2[[#This Row],[Proposta
 Negociada]]</f>
        <v>0</v>
      </c>
      <c r="Q1064" s="4" t="e">
        <f>Tabela2[[#This Row],[Proposta
 Negociada]]/Tabela2[[#This Row],[Proposta
 Inicial]]-1</f>
        <v>#DIV/0!</v>
      </c>
      <c r="S1064"/>
    </row>
    <row r="1065" spans="1:19" ht="15" customHeight="1">
      <c r="A1065" s="9"/>
      <c r="B1065" s="9"/>
      <c r="C1065" s="1">
        <f>Tabela2[[#This Row],[Data
Pedido]]-Tabela2[[#This Row],[Data Última Aprovação RC]]</f>
        <v>0</v>
      </c>
      <c r="J1065" s="1" t="str">
        <f t="shared" ca="1" si="25"/>
        <v/>
      </c>
      <c r="K1065" s="11">
        <f>Tabela2[[#This Row],[SLA
Padrão]]-Tabela2[[#This Row],[SLA Atendimento]]</f>
        <v>0</v>
      </c>
      <c r="L1065" s="11"/>
      <c r="O1065" s="1" t="s">
        <v>30</v>
      </c>
      <c r="P1065" s="2">
        <f>Tabela2[[#This Row],[Proposta
 Inicial]]-Tabela2[[#This Row],[Proposta
 Negociada]]</f>
        <v>0</v>
      </c>
      <c r="Q1065" s="4" t="e">
        <f>Tabela2[[#This Row],[Proposta
 Negociada]]/Tabela2[[#This Row],[Proposta
 Inicial]]-1</f>
        <v>#DIV/0!</v>
      </c>
      <c r="S1065"/>
    </row>
    <row r="1066" spans="1:19" ht="15" customHeight="1">
      <c r="A1066" s="9"/>
      <c r="B1066" s="9"/>
      <c r="C1066" s="1">
        <f>Tabela2[[#This Row],[Data
Pedido]]-Tabela2[[#This Row],[Data Última Aprovação RC]]</f>
        <v>0</v>
      </c>
      <c r="J1066" s="1" t="str">
        <f t="shared" ca="1" si="25"/>
        <v/>
      </c>
      <c r="K1066" s="11">
        <f>Tabela2[[#This Row],[SLA
Padrão]]-Tabela2[[#This Row],[SLA Atendimento]]</f>
        <v>0</v>
      </c>
      <c r="L1066" s="11"/>
      <c r="O1066" s="1" t="s">
        <v>30</v>
      </c>
      <c r="P1066" s="2">
        <f>Tabela2[[#This Row],[Proposta
 Inicial]]-Tabela2[[#This Row],[Proposta
 Negociada]]</f>
        <v>0</v>
      </c>
      <c r="Q1066" s="4" t="e">
        <f>Tabela2[[#This Row],[Proposta
 Negociada]]/Tabela2[[#This Row],[Proposta
 Inicial]]-1</f>
        <v>#DIV/0!</v>
      </c>
      <c r="S1066"/>
    </row>
    <row r="1067" spans="1:19" ht="15" customHeight="1">
      <c r="A1067" s="9"/>
      <c r="B1067" s="9"/>
      <c r="C1067" s="1">
        <f>Tabela2[[#This Row],[Data
Pedido]]-Tabela2[[#This Row],[Data Última Aprovação RC]]</f>
        <v>0</v>
      </c>
      <c r="J1067" s="1" t="str">
        <f t="shared" ref="J1067:J1130" ca="1" si="26">IF(A1067="","",IF(B1067="",IF(TODAY()-A1067&gt;I1067,"ATRASADA","EM ANDAMENTO"),IF(B1067-A1067&gt;I1067,"ATRASADA","NO PRAZO")))</f>
        <v/>
      </c>
      <c r="K1067" s="11">
        <f>Tabela2[[#This Row],[SLA
Padrão]]-Tabela2[[#This Row],[SLA Atendimento]]</f>
        <v>0</v>
      </c>
      <c r="L1067" s="11"/>
      <c r="O1067" s="1" t="s">
        <v>30</v>
      </c>
      <c r="P1067" s="2">
        <f>Tabela2[[#This Row],[Proposta
 Inicial]]-Tabela2[[#This Row],[Proposta
 Negociada]]</f>
        <v>0</v>
      </c>
      <c r="Q1067" s="4" t="e">
        <f>Tabela2[[#This Row],[Proposta
 Negociada]]/Tabela2[[#This Row],[Proposta
 Inicial]]-1</f>
        <v>#DIV/0!</v>
      </c>
      <c r="S1067"/>
    </row>
    <row r="1068" spans="1:19" ht="15" customHeight="1">
      <c r="A1068" s="9"/>
      <c r="B1068" s="9"/>
      <c r="C1068" s="1">
        <f>Tabela2[[#This Row],[Data
Pedido]]-Tabela2[[#This Row],[Data Última Aprovação RC]]</f>
        <v>0</v>
      </c>
      <c r="J1068" s="1" t="str">
        <f t="shared" ca="1" si="26"/>
        <v/>
      </c>
      <c r="K1068" s="11">
        <f>Tabela2[[#This Row],[SLA
Padrão]]-Tabela2[[#This Row],[SLA Atendimento]]</f>
        <v>0</v>
      </c>
      <c r="L1068" s="11"/>
      <c r="O1068" s="1" t="s">
        <v>30</v>
      </c>
      <c r="P1068" s="2">
        <f>Tabela2[[#This Row],[Proposta
 Inicial]]-Tabela2[[#This Row],[Proposta
 Negociada]]</f>
        <v>0</v>
      </c>
      <c r="Q1068" s="4" t="e">
        <f>Tabela2[[#This Row],[Proposta
 Negociada]]/Tabela2[[#This Row],[Proposta
 Inicial]]-1</f>
        <v>#DIV/0!</v>
      </c>
      <c r="S1068"/>
    </row>
    <row r="1069" spans="1:19" ht="15" customHeight="1">
      <c r="A1069" s="9"/>
      <c r="B1069" s="9"/>
      <c r="C1069" s="1">
        <f>Tabela2[[#This Row],[Data
Pedido]]-Tabela2[[#This Row],[Data Última Aprovação RC]]</f>
        <v>0</v>
      </c>
      <c r="J1069" s="1" t="str">
        <f t="shared" ca="1" si="26"/>
        <v/>
      </c>
      <c r="K1069" s="11">
        <f>Tabela2[[#This Row],[SLA
Padrão]]-Tabela2[[#This Row],[SLA Atendimento]]</f>
        <v>0</v>
      </c>
      <c r="L1069" s="11"/>
      <c r="O1069" s="1" t="s">
        <v>30</v>
      </c>
      <c r="P1069" s="2">
        <f>Tabela2[[#This Row],[Proposta
 Inicial]]-Tabela2[[#This Row],[Proposta
 Negociada]]</f>
        <v>0</v>
      </c>
      <c r="Q1069" s="4" t="e">
        <f>Tabela2[[#This Row],[Proposta
 Negociada]]/Tabela2[[#This Row],[Proposta
 Inicial]]-1</f>
        <v>#DIV/0!</v>
      </c>
      <c r="S1069"/>
    </row>
    <row r="1070" spans="1:19" ht="15" customHeight="1">
      <c r="A1070" s="9"/>
      <c r="B1070" s="9"/>
      <c r="C1070" s="1">
        <f>Tabela2[[#This Row],[Data
Pedido]]-Tabela2[[#This Row],[Data Última Aprovação RC]]</f>
        <v>0</v>
      </c>
      <c r="J1070" s="1" t="str">
        <f t="shared" ca="1" si="26"/>
        <v/>
      </c>
      <c r="K1070" s="11">
        <f>Tabela2[[#This Row],[SLA
Padrão]]-Tabela2[[#This Row],[SLA Atendimento]]</f>
        <v>0</v>
      </c>
      <c r="L1070" s="11"/>
      <c r="O1070" s="1" t="s">
        <v>30</v>
      </c>
      <c r="P1070" s="2">
        <f>Tabela2[[#This Row],[Proposta
 Inicial]]-Tabela2[[#This Row],[Proposta
 Negociada]]</f>
        <v>0</v>
      </c>
      <c r="Q1070" s="4" t="e">
        <f>Tabela2[[#This Row],[Proposta
 Negociada]]/Tabela2[[#This Row],[Proposta
 Inicial]]-1</f>
        <v>#DIV/0!</v>
      </c>
      <c r="S1070"/>
    </row>
    <row r="1071" spans="1:19" ht="15" customHeight="1">
      <c r="A1071" s="9"/>
      <c r="B1071" s="9"/>
      <c r="C1071" s="1">
        <f>Tabela2[[#This Row],[Data
Pedido]]-Tabela2[[#This Row],[Data Última Aprovação RC]]</f>
        <v>0</v>
      </c>
      <c r="J1071" s="1" t="str">
        <f t="shared" ca="1" si="26"/>
        <v/>
      </c>
      <c r="K1071" s="11">
        <f>Tabela2[[#This Row],[SLA
Padrão]]-Tabela2[[#This Row],[SLA Atendimento]]</f>
        <v>0</v>
      </c>
      <c r="L1071" s="11"/>
      <c r="O1071" s="1" t="s">
        <v>30</v>
      </c>
      <c r="P1071" s="2">
        <f>Tabela2[[#This Row],[Proposta
 Inicial]]-Tabela2[[#This Row],[Proposta
 Negociada]]</f>
        <v>0</v>
      </c>
      <c r="Q1071" s="4" t="e">
        <f>Tabela2[[#This Row],[Proposta
 Negociada]]/Tabela2[[#This Row],[Proposta
 Inicial]]-1</f>
        <v>#DIV/0!</v>
      </c>
      <c r="S1071"/>
    </row>
    <row r="1072" spans="1:19" ht="15" customHeight="1">
      <c r="A1072" s="9"/>
      <c r="B1072" s="9"/>
      <c r="C1072" s="1">
        <f>Tabela2[[#This Row],[Data
Pedido]]-Tabela2[[#This Row],[Data Última Aprovação RC]]</f>
        <v>0</v>
      </c>
      <c r="J1072" s="1" t="str">
        <f t="shared" ca="1" si="26"/>
        <v/>
      </c>
      <c r="K1072" s="11">
        <f>Tabela2[[#This Row],[SLA
Padrão]]-Tabela2[[#This Row],[SLA Atendimento]]</f>
        <v>0</v>
      </c>
      <c r="L1072" s="11"/>
      <c r="O1072" s="1" t="s">
        <v>30</v>
      </c>
      <c r="P1072" s="2">
        <f>Tabela2[[#This Row],[Proposta
 Inicial]]-Tabela2[[#This Row],[Proposta
 Negociada]]</f>
        <v>0</v>
      </c>
      <c r="Q1072" s="4" t="e">
        <f>Tabela2[[#This Row],[Proposta
 Negociada]]/Tabela2[[#This Row],[Proposta
 Inicial]]-1</f>
        <v>#DIV/0!</v>
      </c>
      <c r="S1072"/>
    </row>
    <row r="1073" spans="1:19" ht="15" customHeight="1">
      <c r="A1073" s="9"/>
      <c r="B1073" s="9"/>
      <c r="C1073" s="1">
        <f>Tabela2[[#This Row],[Data
Pedido]]-Tabela2[[#This Row],[Data Última Aprovação RC]]</f>
        <v>0</v>
      </c>
      <c r="J1073" s="1" t="str">
        <f t="shared" ca="1" si="26"/>
        <v/>
      </c>
      <c r="K1073" s="11">
        <f>Tabela2[[#This Row],[SLA
Padrão]]-Tabela2[[#This Row],[SLA Atendimento]]</f>
        <v>0</v>
      </c>
      <c r="L1073" s="11"/>
      <c r="O1073" s="1" t="s">
        <v>30</v>
      </c>
      <c r="P1073" s="2">
        <f>Tabela2[[#This Row],[Proposta
 Inicial]]-Tabela2[[#This Row],[Proposta
 Negociada]]</f>
        <v>0</v>
      </c>
      <c r="Q1073" s="4" t="e">
        <f>Tabela2[[#This Row],[Proposta
 Negociada]]/Tabela2[[#This Row],[Proposta
 Inicial]]-1</f>
        <v>#DIV/0!</v>
      </c>
      <c r="S1073"/>
    </row>
    <row r="1074" spans="1:19" ht="15" customHeight="1">
      <c r="A1074" s="9"/>
      <c r="B1074" s="9"/>
      <c r="C1074" s="1">
        <f>Tabela2[[#This Row],[Data
Pedido]]-Tabela2[[#This Row],[Data Última Aprovação RC]]</f>
        <v>0</v>
      </c>
      <c r="J1074" s="1" t="str">
        <f t="shared" ca="1" si="26"/>
        <v/>
      </c>
      <c r="K1074" s="11">
        <f>Tabela2[[#This Row],[SLA
Padrão]]-Tabela2[[#This Row],[SLA Atendimento]]</f>
        <v>0</v>
      </c>
      <c r="L1074" s="11"/>
      <c r="O1074" s="1" t="s">
        <v>30</v>
      </c>
      <c r="P1074" s="2">
        <f>Tabela2[[#This Row],[Proposta
 Inicial]]-Tabela2[[#This Row],[Proposta
 Negociada]]</f>
        <v>0</v>
      </c>
      <c r="Q1074" s="4" t="e">
        <f>Tabela2[[#This Row],[Proposta
 Negociada]]/Tabela2[[#This Row],[Proposta
 Inicial]]-1</f>
        <v>#DIV/0!</v>
      </c>
      <c r="S1074"/>
    </row>
    <row r="1075" spans="1:19" ht="15" customHeight="1">
      <c r="A1075" s="9"/>
      <c r="B1075" s="9"/>
      <c r="C1075" s="1">
        <f>Tabela2[[#This Row],[Data
Pedido]]-Tabela2[[#This Row],[Data Última Aprovação RC]]</f>
        <v>0</v>
      </c>
      <c r="J1075" s="1" t="str">
        <f t="shared" ca="1" si="26"/>
        <v/>
      </c>
      <c r="K1075" s="11">
        <f>Tabela2[[#This Row],[SLA
Padrão]]-Tabela2[[#This Row],[SLA Atendimento]]</f>
        <v>0</v>
      </c>
      <c r="L1075" s="11"/>
      <c r="O1075" s="1" t="s">
        <v>30</v>
      </c>
      <c r="P1075" s="2">
        <f>Tabela2[[#This Row],[Proposta
 Inicial]]-Tabela2[[#This Row],[Proposta
 Negociada]]</f>
        <v>0</v>
      </c>
      <c r="Q1075" s="4" t="e">
        <f>Tabela2[[#This Row],[Proposta
 Negociada]]/Tabela2[[#This Row],[Proposta
 Inicial]]-1</f>
        <v>#DIV/0!</v>
      </c>
      <c r="S1075"/>
    </row>
    <row r="1076" spans="1:19" ht="15" customHeight="1">
      <c r="A1076" s="9"/>
      <c r="B1076" s="9"/>
      <c r="C1076" s="1">
        <f>Tabela2[[#This Row],[Data
Pedido]]-Tabela2[[#This Row],[Data Última Aprovação RC]]</f>
        <v>0</v>
      </c>
      <c r="J1076" s="1" t="str">
        <f t="shared" ca="1" si="26"/>
        <v/>
      </c>
      <c r="K1076" s="11">
        <f>Tabela2[[#This Row],[SLA
Padrão]]-Tabela2[[#This Row],[SLA Atendimento]]</f>
        <v>0</v>
      </c>
      <c r="L1076" s="11"/>
      <c r="O1076" s="1" t="s">
        <v>30</v>
      </c>
      <c r="P1076" s="2">
        <f>Tabela2[[#This Row],[Proposta
 Inicial]]-Tabela2[[#This Row],[Proposta
 Negociada]]</f>
        <v>0</v>
      </c>
      <c r="Q1076" s="4" t="e">
        <f>Tabela2[[#This Row],[Proposta
 Negociada]]/Tabela2[[#This Row],[Proposta
 Inicial]]-1</f>
        <v>#DIV/0!</v>
      </c>
      <c r="S1076"/>
    </row>
    <row r="1077" spans="1:19" ht="15" customHeight="1">
      <c r="A1077" s="9"/>
      <c r="B1077" s="9"/>
      <c r="C1077" s="1">
        <f>Tabela2[[#This Row],[Data
Pedido]]-Tabela2[[#This Row],[Data Última Aprovação RC]]</f>
        <v>0</v>
      </c>
      <c r="J1077" s="1" t="str">
        <f t="shared" ca="1" si="26"/>
        <v/>
      </c>
      <c r="K1077" s="11">
        <f>Tabela2[[#This Row],[SLA
Padrão]]-Tabela2[[#This Row],[SLA Atendimento]]</f>
        <v>0</v>
      </c>
      <c r="L1077" s="11"/>
      <c r="O1077" s="1" t="s">
        <v>30</v>
      </c>
      <c r="P1077" s="2">
        <f>Tabela2[[#This Row],[Proposta
 Inicial]]-Tabela2[[#This Row],[Proposta
 Negociada]]</f>
        <v>0</v>
      </c>
      <c r="Q1077" s="4" t="e">
        <f>Tabela2[[#This Row],[Proposta
 Negociada]]/Tabela2[[#This Row],[Proposta
 Inicial]]-1</f>
        <v>#DIV/0!</v>
      </c>
      <c r="S1077"/>
    </row>
    <row r="1078" spans="1:19" ht="15" customHeight="1">
      <c r="A1078" s="9"/>
      <c r="B1078" s="9"/>
      <c r="C1078" s="1">
        <f>Tabela2[[#This Row],[Data
Pedido]]-Tabela2[[#This Row],[Data Última Aprovação RC]]</f>
        <v>0</v>
      </c>
      <c r="J1078" s="1" t="str">
        <f t="shared" ca="1" si="26"/>
        <v/>
      </c>
      <c r="K1078" s="11">
        <f>Tabela2[[#This Row],[SLA
Padrão]]-Tabela2[[#This Row],[SLA Atendimento]]</f>
        <v>0</v>
      </c>
      <c r="L1078" s="11"/>
      <c r="O1078" s="1" t="s">
        <v>30</v>
      </c>
      <c r="P1078" s="2">
        <f>Tabela2[[#This Row],[Proposta
 Inicial]]-Tabela2[[#This Row],[Proposta
 Negociada]]</f>
        <v>0</v>
      </c>
      <c r="Q1078" s="4" t="e">
        <f>Tabela2[[#This Row],[Proposta
 Negociada]]/Tabela2[[#This Row],[Proposta
 Inicial]]-1</f>
        <v>#DIV/0!</v>
      </c>
      <c r="S1078"/>
    </row>
    <row r="1079" spans="1:19" ht="15" customHeight="1">
      <c r="A1079" s="9"/>
      <c r="B1079" s="9"/>
      <c r="C1079" s="1">
        <f>Tabela2[[#This Row],[Data
Pedido]]-Tabela2[[#This Row],[Data Última Aprovação RC]]</f>
        <v>0</v>
      </c>
      <c r="J1079" s="1" t="str">
        <f t="shared" ca="1" si="26"/>
        <v/>
      </c>
      <c r="K1079" s="11">
        <f>Tabela2[[#This Row],[SLA
Padrão]]-Tabela2[[#This Row],[SLA Atendimento]]</f>
        <v>0</v>
      </c>
      <c r="L1079" s="11"/>
      <c r="O1079" s="1" t="s">
        <v>30</v>
      </c>
      <c r="P1079" s="2">
        <f>Tabela2[[#This Row],[Proposta
 Inicial]]-Tabela2[[#This Row],[Proposta
 Negociada]]</f>
        <v>0</v>
      </c>
      <c r="Q1079" s="4" t="e">
        <f>Tabela2[[#This Row],[Proposta
 Negociada]]/Tabela2[[#This Row],[Proposta
 Inicial]]-1</f>
        <v>#DIV/0!</v>
      </c>
      <c r="S1079"/>
    </row>
    <row r="1080" spans="1:19" ht="15" customHeight="1">
      <c r="A1080" s="9"/>
      <c r="B1080" s="9"/>
      <c r="C1080" s="1">
        <f>Tabela2[[#This Row],[Data
Pedido]]-Tabela2[[#This Row],[Data Última Aprovação RC]]</f>
        <v>0</v>
      </c>
      <c r="J1080" s="1" t="str">
        <f t="shared" ca="1" si="26"/>
        <v/>
      </c>
      <c r="K1080" s="11">
        <f>Tabela2[[#This Row],[SLA
Padrão]]-Tabela2[[#This Row],[SLA Atendimento]]</f>
        <v>0</v>
      </c>
      <c r="L1080" s="11"/>
      <c r="O1080" s="1" t="s">
        <v>30</v>
      </c>
      <c r="P1080" s="2">
        <f>Tabela2[[#This Row],[Proposta
 Inicial]]-Tabela2[[#This Row],[Proposta
 Negociada]]</f>
        <v>0</v>
      </c>
      <c r="Q1080" s="4" t="e">
        <f>Tabela2[[#This Row],[Proposta
 Negociada]]/Tabela2[[#This Row],[Proposta
 Inicial]]-1</f>
        <v>#DIV/0!</v>
      </c>
      <c r="S1080"/>
    </row>
    <row r="1081" spans="1:19" ht="15" customHeight="1">
      <c r="A1081" s="9"/>
      <c r="B1081" s="9"/>
      <c r="C1081" s="1">
        <f>Tabela2[[#This Row],[Data
Pedido]]-Tabela2[[#This Row],[Data Última Aprovação RC]]</f>
        <v>0</v>
      </c>
      <c r="J1081" s="1" t="str">
        <f t="shared" ca="1" si="26"/>
        <v/>
      </c>
      <c r="K1081" s="11">
        <f>Tabela2[[#This Row],[SLA
Padrão]]-Tabela2[[#This Row],[SLA Atendimento]]</f>
        <v>0</v>
      </c>
      <c r="L1081" s="11"/>
      <c r="O1081" s="1" t="s">
        <v>30</v>
      </c>
      <c r="P1081" s="2">
        <f>Tabela2[[#This Row],[Proposta
 Inicial]]-Tabela2[[#This Row],[Proposta
 Negociada]]</f>
        <v>0</v>
      </c>
      <c r="Q1081" s="4" t="e">
        <f>Tabela2[[#This Row],[Proposta
 Negociada]]/Tabela2[[#This Row],[Proposta
 Inicial]]-1</f>
        <v>#DIV/0!</v>
      </c>
      <c r="S1081"/>
    </row>
    <row r="1082" spans="1:19" ht="15" customHeight="1">
      <c r="A1082" s="9"/>
      <c r="B1082" s="9"/>
      <c r="C1082" s="1">
        <f>Tabela2[[#This Row],[Data
Pedido]]-Tabela2[[#This Row],[Data Última Aprovação RC]]</f>
        <v>0</v>
      </c>
      <c r="J1082" s="1" t="str">
        <f t="shared" ca="1" si="26"/>
        <v/>
      </c>
      <c r="K1082" s="11">
        <f>Tabela2[[#This Row],[SLA
Padrão]]-Tabela2[[#This Row],[SLA Atendimento]]</f>
        <v>0</v>
      </c>
      <c r="L1082" s="11"/>
      <c r="O1082" s="1" t="s">
        <v>30</v>
      </c>
      <c r="P1082" s="2">
        <f>Tabela2[[#This Row],[Proposta
 Inicial]]-Tabela2[[#This Row],[Proposta
 Negociada]]</f>
        <v>0</v>
      </c>
      <c r="Q1082" s="4" t="e">
        <f>Tabela2[[#This Row],[Proposta
 Negociada]]/Tabela2[[#This Row],[Proposta
 Inicial]]-1</f>
        <v>#DIV/0!</v>
      </c>
      <c r="S1082"/>
    </row>
    <row r="1083" spans="1:19" ht="15" customHeight="1">
      <c r="A1083" s="9"/>
      <c r="B1083" s="9"/>
      <c r="C1083" s="1">
        <f>Tabela2[[#This Row],[Data
Pedido]]-Tabela2[[#This Row],[Data Última Aprovação RC]]</f>
        <v>0</v>
      </c>
      <c r="J1083" s="1" t="str">
        <f t="shared" ca="1" si="26"/>
        <v/>
      </c>
      <c r="K1083" s="11">
        <f>Tabela2[[#This Row],[SLA
Padrão]]-Tabela2[[#This Row],[SLA Atendimento]]</f>
        <v>0</v>
      </c>
      <c r="L1083" s="11"/>
      <c r="O1083" s="1" t="s">
        <v>30</v>
      </c>
      <c r="P1083" s="2">
        <f>Tabela2[[#This Row],[Proposta
 Inicial]]-Tabela2[[#This Row],[Proposta
 Negociada]]</f>
        <v>0</v>
      </c>
      <c r="Q1083" s="4" t="e">
        <f>Tabela2[[#This Row],[Proposta
 Negociada]]/Tabela2[[#This Row],[Proposta
 Inicial]]-1</f>
        <v>#DIV/0!</v>
      </c>
      <c r="S1083"/>
    </row>
    <row r="1084" spans="1:19" ht="15" customHeight="1">
      <c r="A1084" s="9"/>
      <c r="B1084" s="9"/>
      <c r="C1084" s="1">
        <f>Tabela2[[#This Row],[Data
Pedido]]-Tabela2[[#This Row],[Data Última Aprovação RC]]</f>
        <v>0</v>
      </c>
      <c r="J1084" s="1" t="str">
        <f t="shared" ca="1" si="26"/>
        <v/>
      </c>
      <c r="K1084" s="11">
        <f>Tabela2[[#This Row],[SLA
Padrão]]-Tabela2[[#This Row],[SLA Atendimento]]</f>
        <v>0</v>
      </c>
      <c r="L1084" s="11"/>
      <c r="O1084" s="1" t="s">
        <v>30</v>
      </c>
      <c r="P1084" s="2">
        <f>Tabela2[[#This Row],[Proposta
 Inicial]]-Tabela2[[#This Row],[Proposta
 Negociada]]</f>
        <v>0</v>
      </c>
      <c r="Q1084" s="4" t="e">
        <f>Tabela2[[#This Row],[Proposta
 Negociada]]/Tabela2[[#This Row],[Proposta
 Inicial]]-1</f>
        <v>#DIV/0!</v>
      </c>
      <c r="S1084"/>
    </row>
    <row r="1085" spans="1:19" ht="15" customHeight="1">
      <c r="A1085" s="9"/>
      <c r="B1085" s="9"/>
      <c r="C1085" s="1">
        <f>Tabela2[[#This Row],[Data
Pedido]]-Tabela2[[#This Row],[Data Última Aprovação RC]]</f>
        <v>0</v>
      </c>
      <c r="J1085" s="1" t="str">
        <f t="shared" ca="1" si="26"/>
        <v/>
      </c>
      <c r="K1085" s="11">
        <f>Tabela2[[#This Row],[SLA
Padrão]]-Tabela2[[#This Row],[SLA Atendimento]]</f>
        <v>0</v>
      </c>
      <c r="L1085" s="11"/>
      <c r="O1085" s="1" t="s">
        <v>30</v>
      </c>
      <c r="P1085" s="2">
        <f>Tabela2[[#This Row],[Proposta
 Inicial]]-Tabela2[[#This Row],[Proposta
 Negociada]]</f>
        <v>0</v>
      </c>
      <c r="Q1085" s="4" t="e">
        <f>Tabela2[[#This Row],[Proposta
 Negociada]]/Tabela2[[#This Row],[Proposta
 Inicial]]-1</f>
        <v>#DIV/0!</v>
      </c>
      <c r="S1085"/>
    </row>
    <row r="1086" spans="1:19" ht="15" customHeight="1">
      <c r="A1086" s="9"/>
      <c r="B1086" s="9"/>
      <c r="C1086" s="1">
        <f>Tabela2[[#This Row],[Data
Pedido]]-Tabela2[[#This Row],[Data Última Aprovação RC]]</f>
        <v>0</v>
      </c>
      <c r="J1086" s="1" t="str">
        <f t="shared" ca="1" si="26"/>
        <v/>
      </c>
      <c r="K1086" s="11">
        <f>Tabela2[[#This Row],[SLA
Padrão]]-Tabela2[[#This Row],[SLA Atendimento]]</f>
        <v>0</v>
      </c>
      <c r="L1086" s="11"/>
      <c r="O1086" s="1" t="s">
        <v>30</v>
      </c>
      <c r="P1086" s="2">
        <f>Tabela2[[#This Row],[Proposta
 Inicial]]-Tabela2[[#This Row],[Proposta
 Negociada]]</f>
        <v>0</v>
      </c>
      <c r="Q1086" s="4" t="e">
        <f>Tabela2[[#This Row],[Proposta
 Negociada]]/Tabela2[[#This Row],[Proposta
 Inicial]]-1</f>
        <v>#DIV/0!</v>
      </c>
      <c r="S1086"/>
    </row>
    <row r="1087" spans="1:19" ht="15" customHeight="1">
      <c r="A1087" s="9"/>
      <c r="B1087" s="9"/>
      <c r="C1087" s="1">
        <f>Tabela2[[#This Row],[Data
Pedido]]-Tabela2[[#This Row],[Data Última Aprovação RC]]</f>
        <v>0</v>
      </c>
      <c r="J1087" s="1" t="str">
        <f t="shared" ca="1" si="26"/>
        <v/>
      </c>
      <c r="K1087" s="11">
        <f>Tabela2[[#This Row],[SLA
Padrão]]-Tabela2[[#This Row],[SLA Atendimento]]</f>
        <v>0</v>
      </c>
      <c r="L1087" s="11"/>
      <c r="O1087" s="1" t="s">
        <v>30</v>
      </c>
      <c r="P1087" s="2">
        <f>Tabela2[[#This Row],[Proposta
 Inicial]]-Tabela2[[#This Row],[Proposta
 Negociada]]</f>
        <v>0</v>
      </c>
      <c r="Q1087" s="4" t="e">
        <f>Tabela2[[#This Row],[Proposta
 Negociada]]/Tabela2[[#This Row],[Proposta
 Inicial]]-1</f>
        <v>#DIV/0!</v>
      </c>
      <c r="S1087"/>
    </row>
    <row r="1088" spans="1:19" ht="15" customHeight="1">
      <c r="A1088" s="9"/>
      <c r="B1088" s="9"/>
      <c r="C1088" s="1">
        <f>Tabela2[[#This Row],[Data
Pedido]]-Tabela2[[#This Row],[Data Última Aprovação RC]]</f>
        <v>0</v>
      </c>
      <c r="J1088" s="1" t="str">
        <f t="shared" ca="1" si="26"/>
        <v/>
      </c>
      <c r="K1088" s="11">
        <f>Tabela2[[#This Row],[SLA
Padrão]]-Tabela2[[#This Row],[SLA Atendimento]]</f>
        <v>0</v>
      </c>
      <c r="L1088" s="11"/>
      <c r="O1088" s="1" t="s">
        <v>30</v>
      </c>
      <c r="P1088" s="2">
        <f>Tabela2[[#This Row],[Proposta
 Inicial]]-Tabela2[[#This Row],[Proposta
 Negociada]]</f>
        <v>0</v>
      </c>
      <c r="Q1088" s="4" t="e">
        <f>Tabela2[[#This Row],[Proposta
 Negociada]]/Tabela2[[#This Row],[Proposta
 Inicial]]-1</f>
        <v>#DIV/0!</v>
      </c>
      <c r="S1088"/>
    </row>
    <row r="1089" spans="1:19" ht="15" customHeight="1">
      <c r="A1089" s="9"/>
      <c r="B1089" s="9"/>
      <c r="C1089" s="1">
        <f>Tabela2[[#This Row],[Data
Pedido]]-Tabela2[[#This Row],[Data Última Aprovação RC]]</f>
        <v>0</v>
      </c>
      <c r="J1089" s="1" t="str">
        <f t="shared" ca="1" si="26"/>
        <v/>
      </c>
      <c r="K1089" s="11">
        <f>Tabela2[[#This Row],[SLA
Padrão]]-Tabela2[[#This Row],[SLA Atendimento]]</f>
        <v>0</v>
      </c>
      <c r="L1089" s="11"/>
      <c r="O1089" s="1" t="s">
        <v>30</v>
      </c>
      <c r="P1089" s="2">
        <f>Tabela2[[#This Row],[Proposta
 Inicial]]-Tabela2[[#This Row],[Proposta
 Negociada]]</f>
        <v>0</v>
      </c>
      <c r="Q1089" s="4" t="e">
        <f>Tabela2[[#This Row],[Proposta
 Negociada]]/Tabela2[[#This Row],[Proposta
 Inicial]]-1</f>
        <v>#DIV/0!</v>
      </c>
      <c r="S1089"/>
    </row>
    <row r="1090" spans="1:19" ht="15" customHeight="1">
      <c r="A1090" s="9"/>
      <c r="B1090" s="9"/>
      <c r="C1090" s="1">
        <f>Tabela2[[#This Row],[Data
Pedido]]-Tabela2[[#This Row],[Data Última Aprovação RC]]</f>
        <v>0</v>
      </c>
      <c r="J1090" s="1" t="str">
        <f t="shared" ca="1" si="26"/>
        <v/>
      </c>
      <c r="K1090" s="11">
        <f>Tabela2[[#This Row],[SLA
Padrão]]-Tabela2[[#This Row],[SLA Atendimento]]</f>
        <v>0</v>
      </c>
      <c r="L1090" s="11"/>
      <c r="O1090" s="1" t="s">
        <v>30</v>
      </c>
      <c r="P1090" s="2">
        <f>Tabela2[[#This Row],[Proposta
 Inicial]]-Tabela2[[#This Row],[Proposta
 Negociada]]</f>
        <v>0</v>
      </c>
      <c r="Q1090" s="4" t="e">
        <f>Tabela2[[#This Row],[Proposta
 Negociada]]/Tabela2[[#This Row],[Proposta
 Inicial]]-1</f>
        <v>#DIV/0!</v>
      </c>
      <c r="S1090"/>
    </row>
    <row r="1091" spans="1:19" ht="15" customHeight="1">
      <c r="A1091" s="9"/>
      <c r="B1091" s="9"/>
      <c r="C1091" s="1">
        <f>Tabela2[[#This Row],[Data
Pedido]]-Tabela2[[#This Row],[Data Última Aprovação RC]]</f>
        <v>0</v>
      </c>
      <c r="J1091" s="1" t="str">
        <f t="shared" ca="1" si="26"/>
        <v/>
      </c>
      <c r="K1091" s="11">
        <f>Tabela2[[#This Row],[SLA
Padrão]]-Tabela2[[#This Row],[SLA Atendimento]]</f>
        <v>0</v>
      </c>
      <c r="L1091" s="11"/>
      <c r="O1091" s="1" t="s">
        <v>30</v>
      </c>
      <c r="P1091" s="2">
        <f>Tabela2[[#This Row],[Proposta
 Inicial]]-Tabela2[[#This Row],[Proposta
 Negociada]]</f>
        <v>0</v>
      </c>
      <c r="Q1091" s="4" t="e">
        <f>Tabela2[[#This Row],[Proposta
 Negociada]]/Tabela2[[#This Row],[Proposta
 Inicial]]-1</f>
        <v>#DIV/0!</v>
      </c>
      <c r="S1091"/>
    </row>
    <row r="1092" spans="1:19" ht="15" customHeight="1">
      <c r="A1092" s="9"/>
      <c r="B1092" s="9"/>
      <c r="C1092" s="1">
        <f>Tabela2[[#This Row],[Data
Pedido]]-Tabela2[[#This Row],[Data Última Aprovação RC]]</f>
        <v>0</v>
      </c>
      <c r="J1092" s="1" t="str">
        <f t="shared" ca="1" si="26"/>
        <v/>
      </c>
      <c r="K1092" s="11">
        <f>Tabela2[[#This Row],[SLA
Padrão]]-Tabela2[[#This Row],[SLA Atendimento]]</f>
        <v>0</v>
      </c>
      <c r="L1092" s="11"/>
      <c r="O1092" s="1" t="s">
        <v>30</v>
      </c>
      <c r="P1092" s="2">
        <f>Tabela2[[#This Row],[Proposta
 Inicial]]-Tabela2[[#This Row],[Proposta
 Negociada]]</f>
        <v>0</v>
      </c>
      <c r="Q1092" s="4" t="e">
        <f>Tabela2[[#This Row],[Proposta
 Negociada]]/Tabela2[[#This Row],[Proposta
 Inicial]]-1</f>
        <v>#DIV/0!</v>
      </c>
      <c r="S1092"/>
    </row>
    <row r="1093" spans="1:19" ht="15" customHeight="1">
      <c r="A1093" s="9"/>
      <c r="B1093" s="9"/>
      <c r="C1093" s="1">
        <f>Tabela2[[#This Row],[Data
Pedido]]-Tabela2[[#This Row],[Data Última Aprovação RC]]</f>
        <v>0</v>
      </c>
      <c r="J1093" s="1" t="str">
        <f t="shared" ca="1" si="26"/>
        <v/>
      </c>
      <c r="K1093" s="11">
        <f>Tabela2[[#This Row],[SLA
Padrão]]-Tabela2[[#This Row],[SLA Atendimento]]</f>
        <v>0</v>
      </c>
      <c r="L1093" s="11"/>
      <c r="O1093" s="1" t="s">
        <v>30</v>
      </c>
      <c r="P1093" s="2">
        <f>Tabela2[[#This Row],[Proposta
 Inicial]]-Tabela2[[#This Row],[Proposta
 Negociada]]</f>
        <v>0</v>
      </c>
      <c r="Q1093" s="4" t="e">
        <f>Tabela2[[#This Row],[Proposta
 Negociada]]/Tabela2[[#This Row],[Proposta
 Inicial]]-1</f>
        <v>#DIV/0!</v>
      </c>
      <c r="S1093"/>
    </row>
    <row r="1094" spans="1:19" ht="15" customHeight="1">
      <c r="A1094" s="9"/>
      <c r="B1094" s="9"/>
      <c r="C1094" s="1">
        <f>Tabela2[[#This Row],[Data
Pedido]]-Tabela2[[#This Row],[Data Última Aprovação RC]]</f>
        <v>0</v>
      </c>
      <c r="J1094" s="1" t="str">
        <f t="shared" ca="1" si="26"/>
        <v/>
      </c>
      <c r="K1094" s="11">
        <f>Tabela2[[#This Row],[SLA
Padrão]]-Tabela2[[#This Row],[SLA Atendimento]]</f>
        <v>0</v>
      </c>
      <c r="L1094" s="11"/>
      <c r="O1094" s="1" t="s">
        <v>30</v>
      </c>
      <c r="P1094" s="2">
        <f>Tabela2[[#This Row],[Proposta
 Inicial]]-Tabela2[[#This Row],[Proposta
 Negociada]]</f>
        <v>0</v>
      </c>
      <c r="Q1094" s="4" t="e">
        <f>Tabela2[[#This Row],[Proposta
 Negociada]]/Tabela2[[#This Row],[Proposta
 Inicial]]-1</f>
        <v>#DIV/0!</v>
      </c>
      <c r="S1094"/>
    </row>
    <row r="1095" spans="1:19" ht="15" customHeight="1">
      <c r="A1095" s="9"/>
      <c r="B1095" s="9"/>
      <c r="C1095" s="1">
        <f>Tabela2[[#This Row],[Data
Pedido]]-Tabela2[[#This Row],[Data Última Aprovação RC]]</f>
        <v>0</v>
      </c>
      <c r="J1095" s="1" t="str">
        <f t="shared" ca="1" si="26"/>
        <v/>
      </c>
      <c r="K1095" s="11">
        <f>Tabela2[[#This Row],[SLA
Padrão]]-Tabela2[[#This Row],[SLA Atendimento]]</f>
        <v>0</v>
      </c>
      <c r="L1095" s="11"/>
      <c r="O1095" s="1" t="s">
        <v>30</v>
      </c>
      <c r="P1095" s="2">
        <f>Tabela2[[#This Row],[Proposta
 Inicial]]-Tabela2[[#This Row],[Proposta
 Negociada]]</f>
        <v>0</v>
      </c>
      <c r="Q1095" s="4" t="e">
        <f>Tabela2[[#This Row],[Proposta
 Negociada]]/Tabela2[[#This Row],[Proposta
 Inicial]]-1</f>
        <v>#DIV/0!</v>
      </c>
      <c r="S1095"/>
    </row>
    <row r="1096" spans="1:19" ht="15" customHeight="1">
      <c r="A1096" s="9"/>
      <c r="B1096" s="9"/>
      <c r="C1096" s="1">
        <f>Tabela2[[#This Row],[Data
Pedido]]-Tabela2[[#This Row],[Data Última Aprovação RC]]</f>
        <v>0</v>
      </c>
      <c r="J1096" s="1" t="str">
        <f t="shared" ca="1" si="26"/>
        <v/>
      </c>
      <c r="K1096" s="11">
        <f>Tabela2[[#This Row],[SLA
Padrão]]-Tabela2[[#This Row],[SLA Atendimento]]</f>
        <v>0</v>
      </c>
      <c r="L1096" s="11"/>
      <c r="O1096" s="1" t="s">
        <v>30</v>
      </c>
      <c r="P1096" s="2">
        <f>Tabela2[[#This Row],[Proposta
 Inicial]]-Tabela2[[#This Row],[Proposta
 Negociada]]</f>
        <v>0</v>
      </c>
      <c r="Q1096" s="4" t="e">
        <f>Tabela2[[#This Row],[Proposta
 Negociada]]/Tabela2[[#This Row],[Proposta
 Inicial]]-1</f>
        <v>#DIV/0!</v>
      </c>
      <c r="S1096"/>
    </row>
    <row r="1097" spans="1:19" ht="15" customHeight="1">
      <c r="A1097" s="9"/>
      <c r="B1097" s="9"/>
      <c r="C1097" s="1">
        <f>Tabela2[[#This Row],[Data
Pedido]]-Tabela2[[#This Row],[Data Última Aprovação RC]]</f>
        <v>0</v>
      </c>
      <c r="J1097" s="1" t="str">
        <f t="shared" ca="1" si="26"/>
        <v/>
      </c>
      <c r="K1097" s="11">
        <f>Tabela2[[#This Row],[SLA
Padrão]]-Tabela2[[#This Row],[SLA Atendimento]]</f>
        <v>0</v>
      </c>
      <c r="L1097" s="11"/>
      <c r="O1097" s="1" t="s">
        <v>30</v>
      </c>
      <c r="P1097" s="2">
        <f>Tabela2[[#This Row],[Proposta
 Inicial]]-Tabela2[[#This Row],[Proposta
 Negociada]]</f>
        <v>0</v>
      </c>
      <c r="Q1097" s="4" t="e">
        <f>Tabela2[[#This Row],[Proposta
 Negociada]]/Tabela2[[#This Row],[Proposta
 Inicial]]-1</f>
        <v>#DIV/0!</v>
      </c>
      <c r="S1097"/>
    </row>
    <row r="1098" spans="1:19" ht="15" customHeight="1">
      <c r="A1098" s="9"/>
      <c r="B1098" s="9"/>
      <c r="C1098" s="1">
        <f>Tabela2[[#This Row],[Data
Pedido]]-Tabela2[[#This Row],[Data Última Aprovação RC]]</f>
        <v>0</v>
      </c>
      <c r="J1098" s="1" t="str">
        <f t="shared" ca="1" si="26"/>
        <v/>
      </c>
      <c r="K1098" s="11">
        <f>Tabela2[[#This Row],[SLA
Padrão]]-Tabela2[[#This Row],[SLA Atendimento]]</f>
        <v>0</v>
      </c>
      <c r="L1098" s="11"/>
      <c r="O1098" s="1" t="s">
        <v>30</v>
      </c>
      <c r="P1098" s="2">
        <f>Tabela2[[#This Row],[Proposta
 Inicial]]-Tabela2[[#This Row],[Proposta
 Negociada]]</f>
        <v>0</v>
      </c>
      <c r="Q1098" s="4" t="e">
        <f>Tabela2[[#This Row],[Proposta
 Negociada]]/Tabela2[[#This Row],[Proposta
 Inicial]]-1</f>
        <v>#DIV/0!</v>
      </c>
      <c r="S1098"/>
    </row>
    <row r="1099" spans="1:19" ht="15" customHeight="1">
      <c r="A1099" s="9"/>
      <c r="B1099" s="9"/>
      <c r="C1099" s="1">
        <f>Tabela2[[#This Row],[Data
Pedido]]-Tabela2[[#This Row],[Data Última Aprovação RC]]</f>
        <v>0</v>
      </c>
      <c r="J1099" s="1" t="str">
        <f t="shared" ca="1" si="26"/>
        <v/>
      </c>
      <c r="K1099" s="11">
        <f>Tabela2[[#This Row],[SLA
Padrão]]-Tabela2[[#This Row],[SLA Atendimento]]</f>
        <v>0</v>
      </c>
      <c r="L1099" s="11"/>
      <c r="O1099" s="1" t="s">
        <v>30</v>
      </c>
      <c r="P1099" s="2">
        <f>Tabela2[[#This Row],[Proposta
 Inicial]]-Tabela2[[#This Row],[Proposta
 Negociada]]</f>
        <v>0</v>
      </c>
      <c r="Q1099" s="4" t="e">
        <f>Tabela2[[#This Row],[Proposta
 Negociada]]/Tabela2[[#This Row],[Proposta
 Inicial]]-1</f>
        <v>#DIV/0!</v>
      </c>
      <c r="S1099"/>
    </row>
    <row r="1100" spans="1:19" ht="15" customHeight="1">
      <c r="A1100" s="9"/>
      <c r="B1100" s="9"/>
      <c r="C1100" s="1">
        <f>Tabela2[[#This Row],[Data
Pedido]]-Tabela2[[#This Row],[Data Última Aprovação RC]]</f>
        <v>0</v>
      </c>
      <c r="J1100" s="1" t="str">
        <f t="shared" ca="1" si="26"/>
        <v/>
      </c>
      <c r="K1100" s="11">
        <f>Tabela2[[#This Row],[SLA
Padrão]]-Tabela2[[#This Row],[SLA Atendimento]]</f>
        <v>0</v>
      </c>
      <c r="L1100" s="11"/>
      <c r="O1100" s="1" t="s">
        <v>30</v>
      </c>
      <c r="P1100" s="2">
        <f>Tabela2[[#This Row],[Proposta
 Inicial]]-Tabela2[[#This Row],[Proposta
 Negociada]]</f>
        <v>0</v>
      </c>
      <c r="Q1100" s="4" t="e">
        <f>Tabela2[[#This Row],[Proposta
 Negociada]]/Tabela2[[#This Row],[Proposta
 Inicial]]-1</f>
        <v>#DIV/0!</v>
      </c>
      <c r="S1100"/>
    </row>
    <row r="1101" spans="1:19" ht="15" customHeight="1">
      <c r="A1101" s="9"/>
      <c r="B1101" s="9"/>
      <c r="C1101" s="1">
        <f>Tabela2[[#This Row],[Data
Pedido]]-Tabela2[[#This Row],[Data Última Aprovação RC]]</f>
        <v>0</v>
      </c>
      <c r="J1101" s="1" t="str">
        <f t="shared" ca="1" si="26"/>
        <v/>
      </c>
      <c r="K1101" s="11">
        <f>Tabela2[[#This Row],[SLA
Padrão]]-Tabela2[[#This Row],[SLA Atendimento]]</f>
        <v>0</v>
      </c>
      <c r="L1101" s="11"/>
      <c r="O1101" s="1" t="s">
        <v>30</v>
      </c>
      <c r="P1101" s="2">
        <f>Tabela2[[#This Row],[Proposta
 Inicial]]-Tabela2[[#This Row],[Proposta
 Negociada]]</f>
        <v>0</v>
      </c>
      <c r="Q1101" s="4" t="e">
        <f>Tabela2[[#This Row],[Proposta
 Negociada]]/Tabela2[[#This Row],[Proposta
 Inicial]]-1</f>
        <v>#DIV/0!</v>
      </c>
      <c r="S1101"/>
    </row>
    <row r="1102" spans="1:19" ht="15" customHeight="1">
      <c r="A1102" s="9"/>
      <c r="B1102" s="9"/>
      <c r="C1102" s="1">
        <f>Tabela2[[#This Row],[Data
Pedido]]-Tabela2[[#This Row],[Data Última Aprovação RC]]</f>
        <v>0</v>
      </c>
      <c r="J1102" s="1" t="str">
        <f t="shared" ca="1" si="26"/>
        <v/>
      </c>
      <c r="K1102" s="11">
        <f>Tabela2[[#This Row],[SLA
Padrão]]-Tabela2[[#This Row],[SLA Atendimento]]</f>
        <v>0</v>
      </c>
      <c r="L1102" s="11"/>
      <c r="O1102" s="1" t="s">
        <v>30</v>
      </c>
      <c r="P1102" s="2">
        <f>Tabela2[[#This Row],[Proposta
 Inicial]]-Tabela2[[#This Row],[Proposta
 Negociada]]</f>
        <v>0</v>
      </c>
      <c r="Q1102" s="4" t="e">
        <f>Tabela2[[#This Row],[Proposta
 Negociada]]/Tabela2[[#This Row],[Proposta
 Inicial]]-1</f>
        <v>#DIV/0!</v>
      </c>
      <c r="S1102"/>
    </row>
    <row r="1103" spans="1:19" ht="15" customHeight="1">
      <c r="A1103" s="9"/>
      <c r="B1103" s="9"/>
      <c r="C1103" s="1">
        <f>Tabela2[[#This Row],[Data
Pedido]]-Tabela2[[#This Row],[Data Última Aprovação RC]]</f>
        <v>0</v>
      </c>
      <c r="J1103" s="1" t="str">
        <f t="shared" ca="1" si="26"/>
        <v/>
      </c>
      <c r="K1103" s="11">
        <f>Tabela2[[#This Row],[SLA
Padrão]]-Tabela2[[#This Row],[SLA Atendimento]]</f>
        <v>0</v>
      </c>
      <c r="L1103" s="11"/>
      <c r="O1103" s="1" t="s">
        <v>30</v>
      </c>
      <c r="P1103" s="2">
        <f>Tabela2[[#This Row],[Proposta
 Inicial]]-Tabela2[[#This Row],[Proposta
 Negociada]]</f>
        <v>0</v>
      </c>
      <c r="Q1103" s="4" t="e">
        <f>Tabela2[[#This Row],[Proposta
 Negociada]]/Tabela2[[#This Row],[Proposta
 Inicial]]-1</f>
        <v>#DIV/0!</v>
      </c>
      <c r="S1103"/>
    </row>
    <row r="1104" spans="1:19" ht="15" customHeight="1">
      <c r="A1104" s="9"/>
      <c r="B1104" s="9"/>
      <c r="C1104" s="1">
        <f>Tabela2[[#This Row],[Data
Pedido]]-Tabela2[[#This Row],[Data Última Aprovação RC]]</f>
        <v>0</v>
      </c>
      <c r="J1104" s="1" t="str">
        <f t="shared" ca="1" si="26"/>
        <v/>
      </c>
      <c r="K1104" s="11">
        <f>Tabela2[[#This Row],[SLA
Padrão]]-Tabela2[[#This Row],[SLA Atendimento]]</f>
        <v>0</v>
      </c>
      <c r="L1104" s="11"/>
      <c r="O1104" s="1" t="s">
        <v>30</v>
      </c>
      <c r="P1104" s="2">
        <f>Tabela2[[#This Row],[Proposta
 Inicial]]-Tabela2[[#This Row],[Proposta
 Negociada]]</f>
        <v>0</v>
      </c>
      <c r="Q1104" s="4" t="e">
        <f>Tabela2[[#This Row],[Proposta
 Negociada]]/Tabela2[[#This Row],[Proposta
 Inicial]]-1</f>
        <v>#DIV/0!</v>
      </c>
      <c r="S1104"/>
    </row>
    <row r="1105" spans="1:19" ht="15" customHeight="1">
      <c r="A1105" s="9"/>
      <c r="B1105" s="9"/>
      <c r="C1105" s="1">
        <f>Tabela2[[#This Row],[Data
Pedido]]-Tabela2[[#This Row],[Data Última Aprovação RC]]</f>
        <v>0</v>
      </c>
      <c r="J1105" s="1" t="str">
        <f t="shared" ca="1" si="26"/>
        <v/>
      </c>
      <c r="K1105" s="11">
        <f>Tabela2[[#This Row],[SLA
Padrão]]-Tabela2[[#This Row],[SLA Atendimento]]</f>
        <v>0</v>
      </c>
      <c r="L1105" s="11"/>
      <c r="O1105" s="1" t="s">
        <v>30</v>
      </c>
      <c r="P1105" s="2">
        <f>Tabela2[[#This Row],[Proposta
 Inicial]]-Tabela2[[#This Row],[Proposta
 Negociada]]</f>
        <v>0</v>
      </c>
      <c r="Q1105" s="4" t="e">
        <f>Tabela2[[#This Row],[Proposta
 Negociada]]/Tabela2[[#This Row],[Proposta
 Inicial]]-1</f>
        <v>#DIV/0!</v>
      </c>
      <c r="S1105"/>
    </row>
    <row r="1106" spans="1:19" ht="15" customHeight="1">
      <c r="A1106" s="9"/>
      <c r="B1106" s="9"/>
      <c r="C1106" s="1">
        <f>Tabela2[[#This Row],[Data
Pedido]]-Tabela2[[#This Row],[Data Última Aprovação RC]]</f>
        <v>0</v>
      </c>
      <c r="J1106" s="1" t="str">
        <f t="shared" ca="1" si="26"/>
        <v/>
      </c>
      <c r="K1106" s="11">
        <f>Tabela2[[#This Row],[SLA
Padrão]]-Tabela2[[#This Row],[SLA Atendimento]]</f>
        <v>0</v>
      </c>
      <c r="L1106" s="11"/>
      <c r="O1106" s="1" t="s">
        <v>30</v>
      </c>
      <c r="P1106" s="2">
        <f>Tabela2[[#This Row],[Proposta
 Inicial]]-Tabela2[[#This Row],[Proposta
 Negociada]]</f>
        <v>0</v>
      </c>
      <c r="Q1106" s="4" t="e">
        <f>Tabela2[[#This Row],[Proposta
 Negociada]]/Tabela2[[#This Row],[Proposta
 Inicial]]-1</f>
        <v>#DIV/0!</v>
      </c>
      <c r="S1106"/>
    </row>
    <row r="1107" spans="1:19" ht="15" customHeight="1">
      <c r="A1107" s="9"/>
      <c r="B1107" s="9"/>
      <c r="C1107" s="1">
        <f>Tabela2[[#This Row],[Data
Pedido]]-Tabela2[[#This Row],[Data Última Aprovação RC]]</f>
        <v>0</v>
      </c>
      <c r="J1107" s="1" t="str">
        <f t="shared" ca="1" si="26"/>
        <v/>
      </c>
      <c r="K1107" s="11">
        <f>Tabela2[[#This Row],[SLA
Padrão]]-Tabela2[[#This Row],[SLA Atendimento]]</f>
        <v>0</v>
      </c>
      <c r="L1107" s="11"/>
      <c r="O1107" s="1" t="s">
        <v>30</v>
      </c>
      <c r="P1107" s="2">
        <f>Tabela2[[#This Row],[Proposta
 Inicial]]-Tabela2[[#This Row],[Proposta
 Negociada]]</f>
        <v>0</v>
      </c>
      <c r="Q1107" s="4" t="e">
        <f>Tabela2[[#This Row],[Proposta
 Negociada]]/Tabela2[[#This Row],[Proposta
 Inicial]]-1</f>
        <v>#DIV/0!</v>
      </c>
      <c r="S1107"/>
    </row>
    <row r="1108" spans="1:19" ht="15" customHeight="1">
      <c r="A1108" s="9"/>
      <c r="B1108" s="9"/>
      <c r="C1108" s="1">
        <f>Tabela2[[#This Row],[Data
Pedido]]-Tabela2[[#This Row],[Data Última Aprovação RC]]</f>
        <v>0</v>
      </c>
      <c r="J1108" s="1" t="str">
        <f t="shared" ca="1" si="26"/>
        <v/>
      </c>
      <c r="K1108" s="11">
        <f>Tabela2[[#This Row],[SLA
Padrão]]-Tabela2[[#This Row],[SLA Atendimento]]</f>
        <v>0</v>
      </c>
      <c r="L1108" s="11"/>
      <c r="O1108" s="1" t="s">
        <v>30</v>
      </c>
      <c r="P1108" s="2">
        <f>Tabela2[[#This Row],[Proposta
 Inicial]]-Tabela2[[#This Row],[Proposta
 Negociada]]</f>
        <v>0</v>
      </c>
      <c r="Q1108" s="4" t="e">
        <f>Tabela2[[#This Row],[Proposta
 Negociada]]/Tabela2[[#This Row],[Proposta
 Inicial]]-1</f>
        <v>#DIV/0!</v>
      </c>
      <c r="S1108"/>
    </row>
    <row r="1109" spans="1:19" ht="15" customHeight="1">
      <c r="A1109" s="9"/>
      <c r="B1109" s="9"/>
      <c r="C1109" s="1">
        <f>Tabela2[[#This Row],[Data
Pedido]]-Tabela2[[#This Row],[Data Última Aprovação RC]]</f>
        <v>0</v>
      </c>
      <c r="J1109" s="1" t="str">
        <f t="shared" ca="1" si="26"/>
        <v/>
      </c>
      <c r="K1109" s="11">
        <f>Tabela2[[#This Row],[SLA
Padrão]]-Tabela2[[#This Row],[SLA Atendimento]]</f>
        <v>0</v>
      </c>
      <c r="L1109" s="11"/>
      <c r="O1109" s="1" t="s">
        <v>30</v>
      </c>
      <c r="P1109" s="2">
        <f>Tabela2[[#This Row],[Proposta
 Inicial]]-Tabela2[[#This Row],[Proposta
 Negociada]]</f>
        <v>0</v>
      </c>
      <c r="Q1109" s="4" t="e">
        <f>Tabela2[[#This Row],[Proposta
 Negociada]]/Tabela2[[#This Row],[Proposta
 Inicial]]-1</f>
        <v>#DIV/0!</v>
      </c>
      <c r="S1109"/>
    </row>
    <row r="1110" spans="1:19" ht="15" customHeight="1">
      <c r="A1110" s="9"/>
      <c r="B1110" s="9"/>
      <c r="C1110" s="1">
        <f>Tabela2[[#This Row],[Data
Pedido]]-Tabela2[[#This Row],[Data Última Aprovação RC]]</f>
        <v>0</v>
      </c>
      <c r="J1110" s="1" t="str">
        <f t="shared" ca="1" si="26"/>
        <v/>
      </c>
      <c r="K1110" s="11">
        <f>Tabela2[[#This Row],[SLA
Padrão]]-Tabela2[[#This Row],[SLA Atendimento]]</f>
        <v>0</v>
      </c>
      <c r="L1110" s="11"/>
      <c r="O1110" s="1" t="s">
        <v>30</v>
      </c>
      <c r="P1110" s="2">
        <f>Tabela2[[#This Row],[Proposta
 Inicial]]-Tabela2[[#This Row],[Proposta
 Negociada]]</f>
        <v>0</v>
      </c>
      <c r="Q1110" s="4" t="e">
        <f>Tabela2[[#This Row],[Proposta
 Negociada]]/Tabela2[[#This Row],[Proposta
 Inicial]]-1</f>
        <v>#DIV/0!</v>
      </c>
      <c r="S1110"/>
    </row>
    <row r="1111" spans="1:19" ht="15" customHeight="1">
      <c r="A1111" s="9"/>
      <c r="B1111" s="9"/>
      <c r="C1111" s="1">
        <f>Tabela2[[#This Row],[Data
Pedido]]-Tabela2[[#This Row],[Data Última Aprovação RC]]</f>
        <v>0</v>
      </c>
      <c r="J1111" s="1" t="str">
        <f t="shared" ca="1" si="26"/>
        <v/>
      </c>
      <c r="K1111" s="11">
        <f>Tabela2[[#This Row],[SLA
Padrão]]-Tabela2[[#This Row],[SLA Atendimento]]</f>
        <v>0</v>
      </c>
      <c r="L1111" s="11"/>
      <c r="O1111" s="1" t="s">
        <v>30</v>
      </c>
      <c r="P1111" s="2">
        <f>Tabela2[[#This Row],[Proposta
 Inicial]]-Tabela2[[#This Row],[Proposta
 Negociada]]</f>
        <v>0</v>
      </c>
      <c r="Q1111" s="4" t="e">
        <f>Tabela2[[#This Row],[Proposta
 Negociada]]/Tabela2[[#This Row],[Proposta
 Inicial]]-1</f>
        <v>#DIV/0!</v>
      </c>
      <c r="S1111"/>
    </row>
    <row r="1112" spans="1:19" ht="15" customHeight="1">
      <c r="A1112" s="9"/>
      <c r="B1112" s="9"/>
      <c r="C1112" s="1">
        <f>Tabela2[[#This Row],[Data
Pedido]]-Tabela2[[#This Row],[Data Última Aprovação RC]]</f>
        <v>0</v>
      </c>
      <c r="J1112" s="1" t="str">
        <f t="shared" ca="1" si="26"/>
        <v/>
      </c>
      <c r="K1112" s="11">
        <f>Tabela2[[#This Row],[SLA
Padrão]]-Tabela2[[#This Row],[SLA Atendimento]]</f>
        <v>0</v>
      </c>
      <c r="L1112" s="11"/>
      <c r="O1112" s="1" t="s">
        <v>30</v>
      </c>
      <c r="P1112" s="2">
        <f>Tabela2[[#This Row],[Proposta
 Inicial]]-Tabela2[[#This Row],[Proposta
 Negociada]]</f>
        <v>0</v>
      </c>
      <c r="Q1112" s="4" t="e">
        <f>Tabela2[[#This Row],[Proposta
 Negociada]]/Tabela2[[#This Row],[Proposta
 Inicial]]-1</f>
        <v>#DIV/0!</v>
      </c>
      <c r="S1112"/>
    </row>
    <row r="1113" spans="1:19" ht="15" customHeight="1">
      <c r="A1113" s="9"/>
      <c r="B1113" s="9"/>
      <c r="C1113" s="1">
        <f>Tabela2[[#This Row],[Data
Pedido]]-Tabela2[[#This Row],[Data Última Aprovação RC]]</f>
        <v>0</v>
      </c>
      <c r="J1113" s="1" t="str">
        <f t="shared" ca="1" si="26"/>
        <v/>
      </c>
      <c r="K1113" s="11">
        <f>Tabela2[[#This Row],[SLA
Padrão]]-Tabela2[[#This Row],[SLA Atendimento]]</f>
        <v>0</v>
      </c>
      <c r="L1113" s="11"/>
      <c r="O1113" s="1" t="s">
        <v>30</v>
      </c>
      <c r="P1113" s="2">
        <f>Tabela2[[#This Row],[Proposta
 Inicial]]-Tabela2[[#This Row],[Proposta
 Negociada]]</f>
        <v>0</v>
      </c>
      <c r="Q1113" s="4" t="e">
        <f>Tabela2[[#This Row],[Proposta
 Negociada]]/Tabela2[[#This Row],[Proposta
 Inicial]]-1</f>
        <v>#DIV/0!</v>
      </c>
      <c r="S1113"/>
    </row>
    <row r="1114" spans="1:19" ht="15" customHeight="1">
      <c r="A1114" s="9"/>
      <c r="B1114" s="9"/>
      <c r="C1114" s="1">
        <f>Tabela2[[#This Row],[Data
Pedido]]-Tabela2[[#This Row],[Data Última Aprovação RC]]</f>
        <v>0</v>
      </c>
      <c r="J1114" s="1" t="str">
        <f t="shared" ca="1" si="26"/>
        <v/>
      </c>
      <c r="K1114" s="11">
        <f>Tabela2[[#This Row],[SLA
Padrão]]-Tabela2[[#This Row],[SLA Atendimento]]</f>
        <v>0</v>
      </c>
      <c r="L1114" s="11"/>
      <c r="O1114" s="1" t="s">
        <v>30</v>
      </c>
      <c r="P1114" s="2">
        <f>Tabela2[[#This Row],[Proposta
 Inicial]]-Tabela2[[#This Row],[Proposta
 Negociada]]</f>
        <v>0</v>
      </c>
      <c r="Q1114" s="4" t="e">
        <f>Tabela2[[#This Row],[Proposta
 Negociada]]/Tabela2[[#This Row],[Proposta
 Inicial]]-1</f>
        <v>#DIV/0!</v>
      </c>
      <c r="S1114"/>
    </row>
    <row r="1115" spans="1:19" ht="15" customHeight="1">
      <c r="A1115" s="9"/>
      <c r="B1115" s="9"/>
      <c r="C1115" s="1">
        <f>Tabela2[[#This Row],[Data
Pedido]]-Tabela2[[#This Row],[Data Última Aprovação RC]]</f>
        <v>0</v>
      </c>
      <c r="J1115" s="1" t="str">
        <f t="shared" ca="1" si="26"/>
        <v/>
      </c>
      <c r="K1115" s="11">
        <f>Tabela2[[#This Row],[SLA
Padrão]]-Tabela2[[#This Row],[SLA Atendimento]]</f>
        <v>0</v>
      </c>
      <c r="L1115" s="11"/>
      <c r="O1115" s="1" t="s">
        <v>30</v>
      </c>
      <c r="P1115" s="2">
        <f>Tabela2[[#This Row],[Proposta
 Inicial]]-Tabela2[[#This Row],[Proposta
 Negociada]]</f>
        <v>0</v>
      </c>
      <c r="Q1115" s="4" t="e">
        <f>Tabela2[[#This Row],[Proposta
 Negociada]]/Tabela2[[#This Row],[Proposta
 Inicial]]-1</f>
        <v>#DIV/0!</v>
      </c>
      <c r="S1115"/>
    </row>
    <row r="1116" spans="1:19" ht="15" customHeight="1">
      <c r="A1116" s="9"/>
      <c r="B1116" s="9"/>
      <c r="C1116" s="1">
        <f>Tabela2[[#This Row],[Data
Pedido]]-Tabela2[[#This Row],[Data Última Aprovação RC]]</f>
        <v>0</v>
      </c>
      <c r="J1116" s="1" t="str">
        <f t="shared" ca="1" si="26"/>
        <v/>
      </c>
      <c r="K1116" s="11">
        <f>Tabela2[[#This Row],[SLA
Padrão]]-Tabela2[[#This Row],[SLA Atendimento]]</f>
        <v>0</v>
      </c>
      <c r="L1116" s="11"/>
      <c r="O1116" s="1" t="s">
        <v>30</v>
      </c>
      <c r="P1116" s="2">
        <f>Tabela2[[#This Row],[Proposta
 Inicial]]-Tabela2[[#This Row],[Proposta
 Negociada]]</f>
        <v>0</v>
      </c>
      <c r="Q1116" s="4" t="e">
        <f>Tabela2[[#This Row],[Proposta
 Negociada]]/Tabela2[[#This Row],[Proposta
 Inicial]]-1</f>
        <v>#DIV/0!</v>
      </c>
      <c r="S1116"/>
    </row>
    <row r="1117" spans="1:19" ht="15" customHeight="1">
      <c r="A1117" s="9"/>
      <c r="B1117" s="9"/>
      <c r="C1117" s="1">
        <f>Tabela2[[#This Row],[Data
Pedido]]-Tabela2[[#This Row],[Data Última Aprovação RC]]</f>
        <v>0</v>
      </c>
      <c r="J1117" s="1" t="str">
        <f t="shared" ca="1" si="26"/>
        <v/>
      </c>
      <c r="K1117" s="11">
        <f>Tabela2[[#This Row],[SLA
Padrão]]-Tabela2[[#This Row],[SLA Atendimento]]</f>
        <v>0</v>
      </c>
      <c r="L1117" s="11"/>
      <c r="O1117" s="1" t="s">
        <v>30</v>
      </c>
      <c r="P1117" s="2">
        <f>Tabela2[[#This Row],[Proposta
 Inicial]]-Tabela2[[#This Row],[Proposta
 Negociada]]</f>
        <v>0</v>
      </c>
      <c r="Q1117" s="4" t="e">
        <f>Tabela2[[#This Row],[Proposta
 Negociada]]/Tabela2[[#This Row],[Proposta
 Inicial]]-1</f>
        <v>#DIV/0!</v>
      </c>
      <c r="S1117"/>
    </row>
    <row r="1118" spans="1:19" ht="15" customHeight="1">
      <c r="A1118" s="9"/>
      <c r="B1118" s="9"/>
      <c r="C1118" s="1">
        <f>Tabela2[[#This Row],[Data
Pedido]]-Tabela2[[#This Row],[Data Última Aprovação RC]]</f>
        <v>0</v>
      </c>
      <c r="J1118" s="1" t="str">
        <f t="shared" ca="1" si="26"/>
        <v/>
      </c>
      <c r="K1118" s="11">
        <f>Tabela2[[#This Row],[SLA
Padrão]]-Tabela2[[#This Row],[SLA Atendimento]]</f>
        <v>0</v>
      </c>
      <c r="L1118" s="11"/>
      <c r="O1118" s="1" t="s">
        <v>30</v>
      </c>
      <c r="P1118" s="2">
        <f>Tabela2[[#This Row],[Proposta
 Inicial]]-Tabela2[[#This Row],[Proposta
 Negociada]]</f>
        <v>0</v>
      </c>
      <c r="Q1118" s="4" t="e">
        <f>Tabela2[[#This Row],[Proposta
 Negociada]]/Tabela2[[#This Row],[Proposta
 Inicial]]-1</f>
        <v>#DIV/0!</v>
      </c>
      <c r="S1118"/>
    </row>
    <row r="1119" spans="1:19" ht="15" customHeight="1">
      <c r="A1119" s="9"/>
      <c r="B1119" s="9"/>
      <c r="C1119" s="1">
        <f>Tabela2[[#This Row],[Data
Pedido]]-Tabela2[[#This Row],[Data Última Aprovação RC]]</f>
        <v>0</v>
      </c>
      <c r="J1119" s="1" t="str">
        <f t="shared" ca="1" si="26"/>
        <v/>
      </c>
      <c r="K1119" s="11">
        <f>Tabela2[[#This Row],[SLA
Padrão]]-Tabela2[[#This Row],[SLA Atendimento]]</f>
        <v>0</v>
      </c>
      <c r="L1119" s="11"/>
      <c r="O1119" s="1" t="s">
        <v>30</v>
      </c>
      <c r="P1119" s="2">
        <f>Tabela2[[#This Row],[Proposta
 Inicial]]-Tabela2[[#This Row],[Proposta
 Negociada]]</f>
        <v>0</v>
      </c>
      <c r="Q1119" s="4" t="e">
        <f>Tabela2[[#This Row],[Proposta
 Negociada]]/Tabela2[[#This Row],[Proposta
 Inicial]]-1</f>
        <v>#DIV/0!</v>
      </c>
      <c r="S1119"/>
    </row>
    <row r="1120" spans="1:19" ht="15" customHeight="1">
      <c r="A1120" s="9"/>
      <c r="B1120" s="9"/>
      <c r="C1120" s="1">
        <f>Tabela2[[#This Row],[Data
Pedido]]-Tabela2[[#This Row],[Data Última Aprovação RC]]</f>
        <v>0</v>
      </c>
      <c r="J1120" s="1" t="str">
        <f t="shared" ca="1" si="26"/>
        <v/>
      </c>
      <c r="K1120" s="11">
        <f>Tabela2[[#This Row],[SLA
Padrão]]-Tabela2[[#This Row],[SLA Atendimento]]</f>
        <v>0</v>
      </c>
      <c r="L1120" s="11"/>
      <c r="O1120" s="1" t="s">
        <v>30</v>
      </c>
      <c r="P1120" s="2">
        <f>Tabela2[[#This Row],[Proposta
 Inicial]]-Tabela2[[#This Row],[Proposta
 Negociada]]</f>
        <v>0</v>
      </c>
      <c r="Q1120" s="4" t="e">
        <f>Tabela2[[#This Row],[Proposta
 Negociada]]/Tabela2[[#This Row],[Proposta
 Inicial]]-1</f>
        <v>#DIV/0!</v>
      </c>
      <c r="S1120"/>
    </row>
    <row r="1121" spans="1:19" ht="15" customHeight="1">
      <c r="A1121" s="9"/>
      <c r="B1121" s="9"/>
      <c r="C1121" s="1">
        <f>Tabela2[[#This Row],[Data
Pedido]]-Tabela2[[#This Row],[Data Última Aprovação RC]]</f>
        <v>0</v>
      </c>
      <c r="J1121" s="1" t="str">
        <f t="shared" ca="1" si="26"/>
        <v/>
      </c>
      <c r="K1121" s="11">
        <f>Tabela2[[#This Row],[SLA
Padrão]]-Tabela2[[#This Row],[SLA Atendimento]]</f>
        <v>0</v>
      </c>
      <c r="L1121" s="11"/>
      <c r="O1121" s="1" t="s">
        <v>30</v>
      </c>
      <c r="P1121" s="2">
        <f>Tabela2[[#This Row],[Proposta
 Inicial]]-Tabela2[[#This Row],[Proposta
 Negociada]]</f>
        <v>0</v>
      </c>
      <c r="Q1121" s="4" t="e">
        <f>Tabela2[[#This Row],[Proposta
 Negociada]]/Tabela2[[#This Row],[Proposta
 Inicial]]-1</f>
        <v>#DIV/0!</v>
      </c>
      <c r="S1121"/>
    </row>
    <row r="1122" spans="1:19" ht="15" customHeight="1">
      <c r="A1122" s="9"/>
      <c r="B1122" s="9"/>
      <c r="C1122" s="1">
        <f>Tabela2[[#This Row],[Data
Pedido]]-Tabela2[[#This Row],[Data Última Aprovação RC]]</f>
        <v>0</v>
      </c>
      <c r="J1122" s="1" t="str">
        <f t="shared" ca="1" si="26"/>
        <v/>
      </c>
      <c r="K1122" s="11">
        <f>Tabela2[[#This Row],[SLA
Padrão]]-Tabela2[[#This Row],[SLA Atendimento]]</f>
        <v>0</v>
      </c>
      <c r="L1122" s="11"/>
      <c r="O1122" s="1" t="s">
        <v>30</v>
      </c>
      <c r="P1122" s="2">
        <f>Tabela2[[#This Row],[Proposta
 Inicial]]-Tabela2[[#This Row],[Proposta
 Negociada]]</f>
        <v>0</v>
      </c>
      <c r="Q1122" s="4" t="e">
        <f>Tabela2[[#This Row],[Proposta
 Negociada]]/Tabela2[[#This Row],[Proposta
 Inicial]]-1</f>
        <v>#DIV/0!</v>
      </c>
      <c r="S1122"/>
    </row>
    <row r="1123" spans="1:19" ht="15" customHeight="1">
      <c r="A1123" s="9"/>
      <c r="B1123" s="9"/>
      <c r="C1123" s="1">
        <f>Tabela2[[#This Row],[Data
Pedido]]-Tabela2[[#This Row],[Data Última Aprovação RC]]</f>
        <v>0</v>
      </c>
      <c r="J1123" s="1" t="str">
        <f t="shared" ca="1" si="26"/>
        <v/>
      </c>
      <c r="K1123" s="11">
        <f>Tabela2[[#This Row],[SLA
Padrão]]-Tabela2[[#This Row],[SLA Atendimento]]</f>
        <v>0</v>
      </c>
      <c r="L1123" s="11"/>
      <c r="O1123" s="1" t="s">
        <v>30</v>
      </c>
      <c r="P1123" s="2">
        <f>Tabela2[[#This Row],[Proposta
 Inicial]]-Tabela2[[#This Row],[Proposta
 Negociada]]</f>
        <v>0</v>
      </c>
      <c r="Q1123" s="4" t="e">
        <f>Tabela2[[#This Row],[Proposta
 Negociada]]/Tabela2[[#This Row],[Proposta
 Inicial]]-1</f>
        <v>#DIV/0!</v>
      </c>
      <c r="S1123"/>
    </row>
    <row r="1124" spans="1:19" ht="15" customHeight="1">
      <c r="A1124" s="9"/>
      <c r="B1124" s="9"/>
      <c r="C1124" s="1">
        <f>Tabela2[[#This Row],[Data
Pedido]]-Tabela2[[#This Row],[Data Última Aprovação RC]]</f>
        <v>0</v>
      </c>
      <c r="J1124" s="1" t="str">
        <f t="shared" ca="1" si="26"/>
        <v/>
      </c>
      <c r="K1124" s="11">
        <f>Tabela2[[#This Row],[SLA
Padrão]]-Tabela2[[#This Row],[SLA Atendimento]]</f>
        <v>0</v>
      </c>
      <c r="L1124" s="11"/>
      <c r="O1124" s="1" t="s">
        <v>30</v>
      </c>
      <c r="P1124" s="2">
        <f>Tabela2[[#This Row],[Proposta
 Inicial]]-Tabela2[[#This Row],[Proposta
 Negociada]]</f>
        <v>0</v>
      </c>
      <c r="Q1124" s="4" t="e">
        <f>Tabela2[[#This Row],[Proposta
 Negociada]]/Tabela2[[#This Row],[Proposta
 Inicial]]-1</f>
        <v>#DIV/0!</v>
      </c>
      <c r="S1124"/>
    </row>
    <row r="1125" spans="1:19" ht="15" customHeight="1">
      <c r="A1125" s="9"/>
      <c r="B1125" s="9"/>
      <c r="C1125" s="1">
        <f>Tabela2[[#This Row],[Data
Pedido]]-Tabela2[[#This Row],[Data Última Aprovação RC]]</f>
        <v>0</v>
      </c>
      <c r="J1125" s="1" t="str">
        <f t="shared" ca="1" si="26"/>
        <v/>
      </c>
      <c r="K1125" s="11">
        <f>Tabela2[[#This Row],[SLA
Padrão]]-Tabela2[[#This Row],[SLA Atendimento]]</f>
        <v>0</v>
      </c>
      <c r="L1125" s="11"/>
      <c r="O1125" s="1" t="s">
        <v>30</v>
      </c>
      <c r="P1125" s="2">
        <f>Tabela2[[#This Row],[Proposta
 Inicial]]-Tabela2[[#This Row],[Proposta
 Negociada]]</f>
        <v>0</v>
      </c>
      <c r="Q1125" s="4" t="e">
        <f>Tabela2[[#This Row],[Proposta
 Negociada]]/Tabela2[[#This Row],[Proposta
 Inicial]]-1</f>
        <v>#DIV/0!</v>
      </c>
      <c r="S1125"/>
    </row>
    <row r="1126" spans="1:19" ht="15" customHeight="1">
      <c r="A1126" s="9"/>
      <c r="B1126" s="9"/>
      <c r="C1126" s="1">
        <f>Tabela2[[#This Row],[Data
Pedido]]-Tabela2[[#This Row],[Data Última Aprovação RC]]</f>
        <v>0</v>
      </c>
      <c r="J1126" s="1" t="str">
        <f t="shared" ca="1" si="26"/>
        <v/>
      </c>
      <c r="K1126" s="11">
        <f>Tabela2[[#This Row],[SLA
Padrão]]-Tabela2[[#This Row],[SLA Atendimento]]</f>
        <v>0</v>
      </c>
      <c r="L1126" s="11"/>
      <c r="O1126" s="1" t="s">
        <v>30</v>
      </c>
      <c r="P1126" s="2">
        <f>Tabela2[[#This Row],[Proposta
 Inicial]]-Tabela2[[#This Row],[Proposta
 Negociada]]</f>
        <v>0</v>
      </c>
      <c r="Q1126" s="4" t="e">
        <f>Tabela2[[#This Row],[Proposta
 Negociada]]/Tabela2[[#This Row],[Proposta
 Inicial]]-1</f>
        <v>#DIV/0!</v>
      </c>
      <c r="S1126"/>
    </row>
    <row r="1127" spans="1:19" ht="15" customHeight="1">
      <c r="A1127" s="9"/>
      <c r="B1127" s="9"/>
      <c r="C1127" s="1">
        <f>Tabela2[[#This Row],[Data
Pedido]]-Tabela2[[#This Row],[Data Última Aprovação RC]]</f>
        <v>0</v>
      </c>
      <c r="J1127" s="1" t="str">
        <f t="shared" ca="1" si="26"/>
        <v/>
      </c>
      <c r="K1127" s="11">
        <f>Tabela2[[#This Row],[SLA
Padrão]]-Tabela2[[#This Row],[SLA Atendimento]]</f>
        <v>0</v>
      </c>
      <c r="L1127" s="11"/>
      <c r="O1127" s="1" t="s">
        <v>30</v>
      </c>
      <c r="P1127" s="2">
        <f>Tabela2[[#This Row],[Proposta
 Inicial]]-Tabela2[[#This Row],[Proposta
 Negociada]]</f>
        <v>0</v>
      </c>
      <c r="Q1127" s="4" t="e">
        <f>Tabela2[[#This Row],[Proposta
 Negociada]]/Tabela2[[#This Row],[Proposta
 Inicial]]-1</f>
        <v>#DIV/0!</v>
      </c>
      <c r="S1127"/>
    </row>
    <row r="1128" spans="1:19" ht="15" customHeight="1">
      <c r="A1128" s="9"/>
      <c r="B1128" s="9"/>
      <c r="C1128" s="1">
        <f>Tabela2[[#This Row],[Data
Pedido]]-Tabela2[[#This Row],[Data Última Aprovação RC]]</f>
        <v>0</v>
      </c>
      <c r="J1128" s="1" t="str">
        <f t="shared" ca="1" si="26"/>
        <v/>
      </c>
      <c r="K1128" s="11">
        <f>Tabela2[[#This Row],[SLA
Padrão]]-Tabela2[[#This Row],[SLA Atendimento]]</f>
        <v>0</v>
      </c>
      <c r="L1128" s="11"/>
      <c r="O1128" s="1" t="s">
        <v>30</v>
      </c>
      <c r="P1128" s="2">
        <f>Tabela2[[#This Row],[Proposta
 Inicial]]-Tabela2[[#This Row],[Proposta
 Negociada]]</f>
        <v>0</v>
      </c>
      <c r="Q1128" s="4" t="e">
        <f>Tabela2[[#This Row],[Proposta
 Negociada]]/Tabela2[[#This Row],[Proposta
 Inicial]]-1</f>
        <v>#DIV/0!</v>
      </c>
      <c r="S1128"/>
    </row>
    <row r="1129" spans="1:19" ht="15" customHeight="1">
      <c r="A1129" s="9"/>
      <c r="B1129" s="9"/>
      <c r="C1129" s="1">
        <f>Tabela2[[#This Row],[Data
Pedido]]-Tabela2[[#This Row],[Data Última Aprovação RC]]</f>
        <v>0</v>
      </c>
      <c r="J1129" s="1" t="str">
        <f t="shared" ca="1" si="26"/>
        <v/>
      </c>
      <c r="K1129" s="11">
        <f>Tabela2[[#This Row],[SLA
Padrão]]-Tabela2[[#This Row],[SLA Atendimento]]</f>
        <v>0</v>
      </c>
      <c r="L1129" s="11"/>
      <c r="O1129" s="1" t="s">
        <v>30</v>
      </c>
      <c r="P1129" s="2">
        <f>Tabela2[[#This Row],[Proposta
 Inicial]]-Tabela2[[#This Row],[Proposta
 Negociada]]</f>
        <v>0</v>
      </c>
      <c r="Q1129" s="4" t="e">
        <f>Tabela2[[#This Row],[Proposta
 Negociada]]/Tabela2[[#This Row],[Proposta
 Inicial]]-1</f>
        <v>#DIV/0!</v>
      </c>
      <c r="S1129"/>
    </row>
    <row r="1130" spans="1:19" ht="15" customHeight="1">
      <c r="A1130" s="9"/>
      <c r="B1130" s="9"/>
      <c r="C1130" s="1">
        <f>Tabela2[[#This Row],[Data
Pedido]]-Tabela2[[#This Row],[Data Última Aprovação RC]]</f>
        <v>0</v>
      </c>
      <c r="J1130" s="1" t="str">
        <f t="shared" ca="1" si="26"/>
        <v/>
      </c>
      <c r="K1130" s="11">
        <f>Tabela2[[#This Row],[SLA
Padrão]]-Tabela2[[#This Row],[SLA Atendimento]]</f>
        <v>0</v>
      </c>
      <c r="L1130" s="11"/>
      <c r="O1130" s="1" t="s">
        <v>30</v>
      </c>
      <c r="P1130" s="2">
        <f>Tabela2[[#This Row],[Proposta
 Inicial]]-Tabela2[[#This Row],[Proposta
 Negociada]]</f>
        <v>0</v>
      </c>
      <c r="Q1130" s="4" t="e">
        <f>Tabela2[[#This Row],[Proposta
 Negociada]]/Tabela2[[#This Row],[Proposta
 Inicial]]-1</f>
        <v>#DIV/0!</v>
      </c>
      <c r="S1130"/>
    </row>
    <row r="1131" spans="1:19" ht="15" customHeight="1">
      <c r="A1131" s="9"/>
      <c r="B1131" s="9"/>
      <c r="C1131" s="1">
        <f>Tabela2[[#This Row],[Data
Pedido]]-Tabela2[[#This Row],[Data Última Aprovação RC]]</f>
        <v>0</v>
      </c>
      <c r="J1131" s="1" t="str">
        <f t="shared" ref="J1131:J1194" ca="1" si="27">IF(A1131="","",IF(B1131="",IF(TODAY()-A1131&gt;I1131,"ATRASADA","EM ANDAMENTO"),IF(B1131-A1131&gt;I1131,"ATRASADA","NO PRAZO")))</f>
        <v/>
      </c>
      <c r="K1131" s="11">
        <f>Tabela2[[#This Row],[SLA
Padrão]]-Tabela2[[#This Row],[SLA Atendimento]]</f>
        <v>0</v>
      </c>
      <c r="L1131" s="11"/>
      <c r="O1131" s="1" t="s">
        <v>30</v>
      </c>
      <c r="P1131" s="2">
        <f>Tabela2[[#This Row],[Proposta
 Inicial]]-Tabela2[[#This Row],[Proposta
 Negociada]]</f>
        <v>0</v>
      </c>
      <c r="Q1131" s="4" t="e">
        <f>Tabela2[[#This Row],[Proposta
 Negociada]]/Tabela2[[#This Row],[Proposta
 Inicial]]-1</f>
        <v>#DIV/0!</v>
      </c>
      <c r="S1131"/>
    </row>
    <row r="1132" spans="1:19" ht="15" customHeight="1">
      <c r="A1132" s="9"/>
      <c r="B1132" s="9"/>
      <c r="C1132" s="1">
        <f>Tabela2[[#This Row],[Data
Pedido]]-Tabela2[[#This Row],[Data Última Aprovação RC]]</f>
        <v>0</v>
      </c>
      <c r="J1132" s="1" t="str">
        <f t="shared" ca="1" si="27"/>
        <v/>
      </c>
      <c r="K1132" s="11">
        <f>Tabela2[[#This Row],[SLA
Padrão]]-Tabela2[[#This Row],[SLA Atendimento]]</f>
        <v>0</v>
      </c>
      <c r="L1132" s="11"/>
      <c r="O1132" s="1" t="s">
        <v>30</v>
      </c>
      <c r="P1132" s="2">
        <f>Tabela2[[#This Row],[Proposta
 Inicial]]-Tabela2[[#This Row],[Proposta
 Negociada]]</f>
        <v>0</v>
      </c>
      <c r="Q1132" s="4" t="e">
        <f>Tabela2[[#This Row],[Proposta
 Negociada]]/Tabela2[[#This Row],[Proposta
 Inicial]]-1</f>
        <v>#DIV/0!</v>
      </c>
      <c r="S1132"/>
    </row>
    <row r="1133" spans="1:19" ht="15" customHeight="1">
      <c r="A1133" s="9"/>
      <c r="B1133" s="9"/>
      <c r="C1133" s="1">
        <f>Tabela2[[#This Row],[Data
Pedido]]-Tabela2[[#This Row],[Data Última Aprovação RC]]</f>
        <v>0</v>
      </c>
      <c r="J1133" s="1" t="str">
        <f t="shared" ca="1" si="27"/>
        <v/>
      </c>
      <c r="K1133" s="11">
        <f>Tabela2[[#This Row],[SLA
Padrão]]-Tabela2[[#This Row],[SLA Atendimento]]</f>
        <v>0</v>
      </c>
      <c r="L1133" s="11"/>
      <c r="O1133" s="1" t="s">
        <v>30</v>
      </c>
      <c r="P1133" s="2">
        <f>Tabela2[[#This Row],[Proposta
 Inicial]]-Tabela2[[#This Row],[Proposta
 Negociada]]</f>
        <v>0</v>
      </c>
      <c r="Q1133" s="4" t="e">
        <f>Tabela2[[#This Row],[Proposta
 Negociada]]/Tabela2[[#This Row],[Proposta
 Inicial]]-1</f>
        <v>#DIV/0!</v>
      </c>
      <c r="S1133"/>
    </row>
    <row r="1134" spans="1:19" ht="15" customHeight="1">
      <c r="A1134" s="9"/>
      <c r="B1134" s="9"/>
      <c r="C1134" s="1">
        <f>Tabela2[[#This Row],[Data
Pedido]]-Tabela2[[#This Row],[Data Última Aprovação RC]]</f>
        <v>0</v>
      </c>
      <c r="J1134" s="1" t="str">
        <f t="shared" ca="1" si="27"/>
        <v/>
      </c>
      <c r="K1134" s="11">
        <f>Tabela2[[#This Row],[SLA
Padrão]]-Tabela2[[#This Row],[SLA Atendimento]]</f>
        <v>0</v>
      </c>
      <c r="L1134" s="11"/>
      <c r="O1134" s="1" t="s">
        <v>30</v>
      </c>
      <c r="P1134" s="2">
        <f>Tabela2[[#This Row],[Proposta
 Inicial]]-Tabela2[[#This Row],[Proposta
 Negociada]]</f>
        <v>0</v>
      </c>
      <c r="Q1134" s="4" t="e">
        <f>Tabela2[[#This Row],[Proposta
 Negociada]]/Tabela2[[#This Row],[Proposta
 Inicial]]-1</f>
        <v>#DIV/0!</v>
      </c>
      <c r="S1134"/>
    </row>
    <row r="1135" spans="1:19" ht="15" customHeight="1">
      <c r="A1135" s="9"/>
      <c r="B1135" s="9"/>
      <c r="C1135" s="1">
        <f>Tabela2[[#This Row],[Data
Pedido]]-Tabela2[[#This Row],[Data Última Aprovação RC]]</f>
        <v>0</v>
      </c>
      <c r="J1135" s="1" t="str">
        <f t="shared" ca="1" si="27"/>
        <v/>
      </c>
      <c r="K1135" s="11">
        <f>Tabela2[[#This Row],[SLA
Padrão]]-Tabela2[[#This Row],[SLA Atendimento]]</f>
        <v>0</v>
      </c>
      <c r="L1135" s="11"/>
      <c r="O1135" s="1" t="s">
        <v>30</v>
      </c>
      <c r="P1135" s="2">
        <f>Tabela2[[#This Row],[Proposta
 Inicial]]-Tabela2[[#This Row],[Proposta
 Negociada]]</f>
        <v>0</v>
      </c>
      <c r="Q1135" s="4" t="e">
        <f>Tabela2[[#This Row],[Proposta
 Negociada]]/Tabela2[[#This Row],[Proposta
 Inicial]]-1</f>
        <v>#DIV/0!</v>
      </c>
      <c r="S1135"/>
    </row>
    <row r="1136" spans="1:19" ht="15" customHeight="1">
      <c r="A1136" s="9"/>
      <c r="B1136" s="9"/>
      <c r="C1136" s="1">
        <f>Tabela2[[#This Row],[Data
Pedido]]-Tabela2[[#This Row],[Data Última Aprovação RC]]</f>
        <v>0</v>
      </c>
      <c r="J1136" s="1" t="str">
        <f t="shared" ca="1" si="27"/>
        <v/>
      </c>
      <c r="K1136" s="11">
        <f>Tabela2[[#This Row],[SLA
Padrão]]-Tabela2[[#This Row],[SLA Atendimento]]</f>
        <v>0</v>
      </c>
      <c r="L1136" s="11"/>
      <c r="O1136" s="1" t="s">
        <v>30</v>
      </c>
      <c r="P1136" s="2">
        <f>Tabela2[[#This Row],[Proposta
 Inicial]]-Tabela2[[#This Row],[Proposta
 Negociada]]</f>
        <v>0</v>
      </c>
      <c r="Q1136" s="4" t="e">
        <f>Tabela2[[#This Row],[Proposta
 Negociada]]/Tabela2[[#This Row],[Proposta
 Inicial]]-1</f>
        <v>#DIV/0!</v>
      </c>
      <c r="S1136"/>
    </row>
    <row r="1137" spans="1:19" ht="15" customHeight="1">
      <c r="A1137" s="9"/>
      <c r="B1137" s="9"/>
      <c r="C1137" s="1">
        <f>Tabela2[[#This Row],[Data
Pedido]]-Tabela2[[#This Row],[Data Última Aprovação RC]]</f>
        <v>0</v>
      </c>
      <c r="J1137" s="1" t="str">
        <f t="shared" ca="1" si="27"/>
        <v/>
      </c>
      <c r="K1137" s="11">
        <f>Tabela2[[#This Row],[SLA
Padrão]]-Tabela2[[#This Row],[SLA Atendimento]]</f>
        <v>0</v>
      </c>
      <c r="L1137" s="11"/>
      <c r="O1137" s="1" t="s">
        <v>30</v>
      </c>
      <c r="P1137" s="2">
        <f>Tabela2[[#This Row],[Proposta
 Inicial]]-Tabela2[[#This Row],[Proposta
 Negociada]]</f>
        <v>0</v>
      </c>
      <c r="Q1137" s="4" t="e">
        <f>Tabela2[[#This Row],[Proposta
 Negociada]]/Tabela2[[#This Row],[Proposta
 Inicial]]-1</f>
        <v>#DIV/0!</v>
      </c>
      <c r="S1137"/>
    </row>
    <row r="1138" spans="1:19" ht="15" customHeight="1">
      <c r="A1138" s="9"/>
      <c r="B1138" s="9"/>
      <c r="C1138" s="1">
        <f>Tabela2[[#This Row],[Data
Pedido]]-Tabela2[[#This Row],[Data Última Aprovação RC]]</f>
        <v>0</v>
      </c>
      <c r="J1138" s="1" t="str">
        <f t="shared" ca="1" si="27"/>
        <v/>
      </c>
      <c r="K1138" s="11">
        <f>Tabela2[[#This Row],[SLA
Padrão]]-Tabela2[[#This Row],[SLA Atendimento]]</f>
        <v>0</v>
      </c>
      <c r="L1138" s="11"/>
      <c r="O1138" s="1" t="s">
        <v>30</v>
      </c>
      <c r="P1138" s="2">
        <f>Tabela2[[#This Row],[Proposta
 Inicial]]-Tabela2[[#This Row],[Proposta
 Negociada]]</f>
        <v>0</v>
      </c>
      <c r="Q1138" s="4" t="e">
        <f>Tabela2[[#This Row],[Proposta
 Negociada]]/Tabela2[[#This Row],[Proposta
 Inicial]]-1</f>
        <v>#DIV/0!</v>
      </c>
      <c r="S1138"/>
    </row>
    <row r="1139" spans="1:19" ht="15" customHeight="1">
      <c r="A1139" s="9"/>
      <c r="B1139" s="9"/>
      <c r="C1139" s="1">
        <f>Tabela2[[#This Row],[Data
Pedido]]-Tabela2[[#This Row],[Data Última Aprovação RC]]</f>
        <v>0</v>
      </c>
      <c r="J1139" s="1" t="str">
        <f t="shared" ca="1" si="27"/>
        <v/>
      </c>
      <c r="K1139" s="11">
        <f>Tabela2[[#This Row],[SLA
Padrão]]-Tabela2[[#This Row],[SLA Atendimento]]</f>
        <v>0</v>
      </c>
      <c r="L1139" s="11"/>
      <c r="O1139" s="1" t="s">
        <v>30</v>
      </c>
      <c r="P1139" s="2">
        <f>Tabela2[[#This Row],[Proposta
 Inicial]]-Tabela2[[#This Row],[Proposta
 Negociada]]</f>
        <v>0</v>
      </c>
      <c r="Q1139" s="4" t="e">
        <f>Tabela2[[#This Row],[Proposta
 Negociada]]/Tabela2[[#This Row],[Proposta
 Inicial]]-1</f>
        <v>#DIV/0!</v>
      </c>
      <c r="S1139"/>
    </row>
    <row r="1140" spans="1:19" ht="15" customHeight="1">
      <c r="A1140" s="9"/>
      <c r="B1140" s="9"/>
      <c r="C1140" s="1">
        <f>Tabela2[[#This Row],[Data
Pedido]]-Tabela2[[#This Row],[Data Última Aprovação RC]]</f>
        <v>0</v>
      </c>
      <c r="J1140" s="1" t="str">
        <f t="shared" ca="1" si="27"/>
        <v/>
      </c>
      <c r="K1140" s="11">
        <f>Tabela2[[#This Row],[SLA
Padrão]]-Tabela2[[#This Row],[SLA Atendimento]]</f>
        <v>0</v>
      </c>
      <c r="L1140" s="11"/>
      <c r="O1140" s="1" t="s">
        <v>30</v>
      </c>
      <c r="P1140" s="2">
        <f>Tabela2[[#This Row],[Proposta
 Inicial]]-Tabela2[[#This Row],[Proposta
 Negociada]]</f>
        <v>0</v>
      </c>
      <c r="Q1140" s="4" t="e">
        <f>Tabela2[[#This Row],[Proposta
 Negociada]]/Tabela2[[#This Row],[Proposta
 Inicial]]-1</f>
        <v>#DIV/0!</v>
      </c>
      <c r="S1140"/>
    </row>
    <row r="1141" spans="1:19" ht="15" customHeight="1">
      <c r="A1141" s="9"/>
      <c r="B1141" s="9"/>
      <c r="C1141" s="1">
        <f>Tabela2[[#This Row],[Data
Pedido]]-Tabela2[[#This Row],[Data Última Aprovação RC]]</f>
        <v>0</v>
      </c>
      <c r="J1141" s="1" t="str">
        <f t="shared" ca="1" si="27"/>
        <v/>
      </c>
      <c r="K1141" s="11">
        <f>Tabela2[[#This Row],[SLA
Padrão]]-Tabela2[[#This Row],[SLA Atendimento]]</f>
        <v>0</v>
      </c>
      <c r="L1141" s="11"/>
      <c r="O1141" s="1" t="s">
        <v>30</v>
      </c>
      <c r="P1141" s="2">
        <f>Tabela2[[#This Row],[Proposta
 Inicial]]-Tabela2[[#This Row],[Proposta
 Negociada]]</f>
        <v>0</v>
      </c>
      <c r="Q1141" s="4" t="e">
        <f>Tabela2[[#This Row],[Proposta
 Negociada]]/Tabela2[[#This Row],[Proposta
 Inicial]]-1</f>
        <v>#DIV/0!</v>
      </c>
      <c r="S1141"/>
    </row>
    <row r="1142" spans="1:19" ht="15" customHeight="1">
      <c r="A1142" s="9"/>
      <c r="B1142" s="9"/>
      <c r="C1142" s="1">
        <f>Tabela2[[#This Row],[Data
Pedido]]-Tabela2[[#This Row],[Data Última Aprovação RC]]</f>
        <v>0</v>
      </c>
      <c r="J1142" s="1" t="str">
        <f t="shared" ca="1" si="27"/>
        <v/>
      </c>
      <c r="K1142" s="11">
        <f>Tabela2[[#This Row],[SLA
Padrão]]-Tabela2[[#This Row],[SLA Atendimento]]</f>
        <v>0</v>
      </c>
      <c r="L1142" s="11"/>
      <c r="O1142" s="1" t="s">
        <v>30</v>
      </c>
      <c r="P1142" s="2">
        <f>Tabela2[[#This Row],[Proposta
 Inicial]]-Tabela2[[#This Row],[Proposta
 Negociada]]</f>
        <v>0</v>
      </c>
      <c r="Q1142" s="4" t="e">
        <f>Tabela2[[#This Row],[Proposta
 Negociada]]/Tabela2[[#This Row],[Proposta
 Inicial]]-1</f>
        <v>#DIV/0!</v>
      </c>
      <c r="S1142"/>
    </row>
    <row r="1143" spans="1:19" ht="15" customHeight="1">
      <c r="A1143" s="9"/>
      <c r="B1143" s="9"/>
      <c r="C1143" s="1">
        <f>Tabela2[[#This Row],[Data
Pedido]]-Tabela2[[#This Row],[Data Última Aprovação RC]]</f>
        <v>0</v>
      </c>
      <c r="J1143" s="1" t="str">
        <f t="shared" ca="1" si="27"/>
        <v/>
      </c>
      <c r="K1143" s="11">
        <f>Tabela2[[#This Row],[SLA
Padrão]]-Tabela2[[#This Row],[SLA Atendimento]]</f>
        <v>0</v>
      </c>
      <c r="L1143" s="11"/>
      <c r="O1143" s="1" t="s">
        <v>30</v>
      </c>
      <c r="P1143" s="2">
        <f>Tabela2[[#This Row],[Proposta
 Inicial]]-Tabela2[[#This Row],[Proposta
 Negociada]]</f>
        <v>0</v>
      </c>
      <c r="Q1143" s="4" t="e">
        <f>Tabela2[[#This Row],[Proposta
 Negociada]]/Tabela2[[#This Row],[Proposta
 Inicial]]-1</f>
        <v>#DIV/0!</v>
      </c>
      <c r="S1143"/>
    </row>
    <row r="1144" spans="1:19" ht="15" customHeight="1">
      <c r="A1144" s="9"/>
      <c r="B1144" s="9"/>
      <c r="C1144" s="1">
        <f>Tabela2[[#This Row],[Data
Pedido]]-Tabela2[[#This Row],[Data Última Aprovação RC]]</f>
        <v>0</v>
      </c>
      <c r="J1144" s="1" t="str">
        <f t="shared" ca="1" si="27"/>
        <v/>
      </c>
      <c r="K1144" s="11">
        <f>Tabela2[[#This Row],[SLA
Padrão]]-Tabela2[[#This Row],[SLA Atendimento]]</f>
        <v>0</v>
      </c>
      <c r="L1144" s="11"/>
      <c r="O1144" s="1" t="s">
        <v>30</v>
      </c>
      <c r="P1144" s="2">
        <f>Tabela2[[#This Row],[Proposta
 Inicial]]-Tabela2[[#This Row],[Proposta
 Negociada]]</f>
        <v>0</v>
      </c>
      <c r="Q1144" s="4" t="e">
        <f>Tabela2[[#This Row],[Proposta
 Negociada]]/Tabela2[[#This Row],[Proposta
 Inicial]]-1</f>
        <v>#DIV/0!</v>
      </c>
      <c r="S1144"/>
    </row>
    <row r="1145" spans="1:19" ht="15" customHeight="1">
      <c r="A1145" s="9"/>
      <c r="B1145" s="9"/>
      <c r="C1145" s="1">
        <f>Tabela2[[#This Row],[Data
Pedido]]-Tabela2[[#This Row],[Data Última Aprovação RC]]</f>
        <v>0</v>
      </c>
      <c r="J1145" s="1" t="str">
        <f t="shared" ca="1" si="27"/>
        <v/>
      </c>
      <c r="K1145" s="11">
        <f>Tabela2[[#This Row],[SLA
Padrão]]-Tabela2[[#This Row],[SLA Atendimento]]</f>
        <v>0</v>
      </c>
      <c r="L1145" s="11"/>
      <c r="O1145" s="1" t="s">
        <v>30</v>
      </c>
      <c r="P1145" s="2">
        <f>Tabela2[[#This Row],[Proposta
 Inicial]]-Tabela2[[#This Row],[Proposta
 Negociada]]</f>
        <v>0</v>
      </c>
      <c r="Q1145" s="4" t="e">
        <f>Tabela2[[#This Row],[Proposta
 Negociada]]/Tabela2[[#This Row],[Proposta
 Inicial]]-1</f>
        <v>#DIV/0!</v>
      </c>
      <c r="S1145"/>
    </row>
    <row r="1146" spans="1:19" ht="15" customHeight="1">
      <c r="A1146" s="9"/>
      <c r="B1146" s="9"/>
      <c r="C1146" s="1">
        <f>Tabela2[[#This Row],[Data
Pedido]]-Tabela2[[#This Row],[Data Última Aprovação RC]]</f>
        <v>0</v>
      </c>
      <c r="J1146" s="1" t="str">
        <f t="shared" ca="1" si="27"/>
        <v/>
      </c>
      <c r="K1146" s="11">
        <f>Tabela2[[#This Row],[SLA
Padrão]]-Tabela2[[#This Row],[SLA Atendimento]]</f>
        <v>0</v>
      </c>
      <c r="L1146" s="11"/>
      <c r="O1146" s="1" t="s">
        <v>30</v>
      </c>
      <c r="P1146" s="2">
        <f>Tabela2[[#This Row],[Proposta
 Inicial]]-Tabela2[[#This Row],[Proposta
 Negociada]]</f>
        <v>0</v>
      </c>
      <c r="Q1146" s="4" t="e">
        <f>Tabela2[[#This Row],[Proposta
 Negociada]]/Tabela2[[#This Row],[Proposta
 Inicial]]-1</f>
        <v>#DIV/0!</v>
      </c>
      <c r="S1146"/>
    </row>
    <row r="1147" spans="1:19" ht="15" customHeight="1">
      <c r="A1147" s="9"/>
      <c r="B1147" s="9"/>
      <c r="C1147" s="1">
        <f>Tabela2[[#This Row],[Data
Pedido]]-Tabela2[[#This Row],[Data Última Aprovação RC]]</f>
        <v>0</v>
      </c>
      <c r="J1147" s="1" t="str">
        <f t="shared" ca="1" si="27"/>
        <v/>
      </c>
      <c r="K1147" s="11">
        <f>Tabela2[[#This Row],[SLA
Padrão]]-Tabela2[[#This Row],[SLA Atendimento]]</f>
        <v>0</v>
      </c>
      <c r="L1147" s="11"/>
      <c r="O1147" s="1" t="s">
        <v>30</v>
      </c>
      <c r="P1147" s="2">
        <f>Tabela2[[#This Row],[Proposta
 Inicial]]-Tabela2[[#This Row],[Proposta
 Negociada]]</f>
        <v>0</v>
      </c>
      <c r="Q1147" s="4" t="e">
        <f>Tabela2[[#This Row],[Proposta
 Negociada]]/Tabela2[[#This Row],[Proposta
 Inicial]]-1</f>
        <v>#DIV/0!</v>
      </c>
      <c r="S1147"/>
    </row>
    <row r="1148" spans="1:19" ht="15" customHeight="1">
      <c r="A1148" s="9"/>
      <c r="B1148" s="9"/>
      <c r="C1148" s="1">
        <f>Tabela2[[#This Row],[Data
Pedido]]-Tabela2[[#This Row],[Data Última Aprovação RC]]</f>
        <v>0</v>
      </c>
      <c r="J1148" s="1" t="str">
        <f t="shared" ca="1" si="27"/>
        <v/>
      </c>
      <c r="K1148" s="11">
        <f>Tabela2[[#This Row],[SLA
Padrão]]-Tabela2[[#This Row],[SLA Atendimento]]</f>
        <v>0</v>
      </c>
      <c r="L1148" s="11"/>
      <c r="O1148" s="1" t="s">
        <v>30</v>
      </c>
      <c r="P1148" s="2">
        <f>Tabela2[[#This Row],[Proposta
 Inicial]]-Tabela2[[#This Row],[Proposta
 Negociada]]</f>
        <v>0</v>
      </c>
      <c r="Q1148" s="4" t="e">
        <f>Tabela2[[#This Row],[Proposta
 Negociada]]/Tabela2[[#This Row],[Proposta
 Inicial]]-1</f>
        <v>#DIV/0!</v>
      </c>
      <c r="S1148"/>
    </row>
    <row r="1149" spans="1:19" ht="15" customHeight="1">
      <c r="A1149" s="9"/>
      <c r="B1149" s="9"/>
      <c r="C1149" s="1">
        <f>Tabela2[[#This Row],[Data
Pedido]]-Tabela2[[#This Row],[Data Última Aprovação RC]]</f>
        <v>0</v>
      </c>
      <c r="J1149" s="1" t="str">
        <f t="shared" ca="1" si="27"/>
        <v/>
      </c>
      <c r="K1149" s="11">
        <f>Tabela2[[#This Row],[SLA
Padrão]]-Tabela2[[#This Row],[SLA Atendimento]]</f>
        <v>0</v>
      </c>
      <c r="L1149" s="11"/>
      <c r="O1149" s="1" t="s">
        <v>30</v>
      </c>
      <c r="P1149" s="2">
        <f>Tabela2[[#This Row],[Proposta
 Inicial]]-Tabela2[[#This Row],[Proposta
 Negociada]]</f>
        <v>0</v>
      </c>
      <c r="Q1149" s="4" t="e">
        <f>Tabela2[[#This Row],[Proposta
 Negociada]]/Tabela2[[#This Row],[Proposta
 Inicial]]-1</f>
        <v>#DIV/0!</v>
      </c>
      <c r="S1149"/>
    </row>
    <row r="1150" spans="1:19" ht="15" customHeight="1">
      <c r="A1150" s="9"/>
      <c r="B1150" s="9"/>
      <c r="C1150" s="1">
        <f>Tabela2[[#This Row],[Data
Pedido]]-Tabela2[[#This Row],[Data Última Aprovação RC]]</f>
        <v>0</v>
      </c>
      <c r="J1150" s="1" t="str">
        <f t="shared" ca="1" si="27"/>
        <v/>
      </c>
      <c r="K1150" s="11">
        <f>Tabela2[[#This Row],[SLA
Padrão]]-Tabela2[[#This Row],[SLA Atendimento]]</f>
        <v>0</v>
      </c>
      <c r="L1150" s="11"/>
      <c r="O1150" s="1" t="s">
        <v>30</v>
      </c>
      <c r="P1150" s="2">
        <f>Tabela2[[#This Row],[Proposta
 Inicial]]-Tabela2[[#This Row],[Proposta
 Negociada]]</f>
        <v>0</v>
      </c>
      <c r="Q1150" s="4" t="e">
        <f>Tabela2[[#This Row],[Proposta
 Negociada]]/Tabela2[[#This Row],[Proposta
 Inicial]]-1</f>
        <v>#DIV/0!</v>
      </c>
      <c r="S1150"/>
    </row>
    <row r="1151" spans="1:19" ht="15" customHeight="1">
      <c r="A1151" s="9"/>
      <c r="B1151" s="9"/>
      <c r="C1151" s="1">
        <f>Tabela2[[#This Row],[Data
Pedido]]-Tabela2[[#This Row],[Data Última Aprovação RC]]</f>
        <v>0</v>
      </c>
      <c r="J1151" s="1" t="str">
        <f t="shared" ca="1" si="27"/>
        <v/>
      </c>
      <c r="K1151" s="11">
        <f>Tabela2[[#This Row],[SLA
Padrão]]-Tabela2[[#This Row],[SLA Atendimento]]</f>
        <v>0</v>
      </c>
      <c r="L1151" s="11"/>
      <c r="O1151" s="1" t="s">
        <v>30</v>
      </c>
      <c r="P1151" s="2">
        <f>Tabela2[[#This Row],[Proposta
 Inicial]]-Tabela2[[#This Row],[Proposta
 Negociada]]</f>
        <v>0</v>
      </c>
      <c r="Q1151" s="4" t="e">
        <f>Tabela2[[#This Row],[Proposta
 Negociada]]/Tabela2[[#This Row],[Proposta
 Inicial]]-1</f>
        <v>#DIV/0!</v>
      </c>
      <c r="S1151"/>
    </row>
    <row r="1152" spans="1:19" ht="15" customHeight="1">
      <c r="A1152" s="9"/>
      <c r="B1152" s="9"/>
      <c r="C1152" s="1">
        <f>Tabela2[[#This Row],[Data
Pedido]]-Tabela2[[#This Row],[Data Última Aprovação RC]]</f>
        <v>0</v>
      </c>
      <c r="J1152" s="1" t="str">
        <f t="shared" ca="1" si="27"/>
        <v/>
      </c>
      <c r="K1152" s="11">
        <f>Tabela2[[#This Row],[SLA
Padrão]]-Tabela2[[#This Row],[SLA Atendimento]]</f>
        <v>0</v>
      </c>
      <c r="L1152" s="11"/>
      <c r="O1152" s="1" t="s">
        <v>30</v>
      </c>
      <c r="P1152" s="2">
        <f>Tabela2[[#This Row],[Proposta
 Inicial]]-Tabela2[[#This Row],[Proposta
 Negociada]]</f>
        <v>0</v>
      </c>
      <c r="Q1152" s="4" t="e">
        <f>Tabela2[[#This Row],[Proposta
 Negociada]]/Tabela2[[#This Row],[Proposta
 Inicial]]-1</f>
        <v>#DIV/0!</v>
      </c>
      <c r="S1152"/>
    </row>
    <row r="1153" spans="1:19" ht="15" customHeight="1">
      <c r="A1153" s="9"/>
      <c r="B1153" s="9"/>
      <c r="C1153" s="1">
        <f>Tabela2[[#This Row],[Data
Pedido]]-Tabela2[[#This Row],[Data Última Aprovação RC]]</f>
        <v>0</v>
      </c>
      <c r="J1153" s="1" t="str">
        <f t="shared" ca="1" si="27"/>
        <v/>
      </c>
      <c r="K1153" s="11">
        <f>Tabela2[[#This Row],[SLA
Padrão]]-Tabela2[[#This Row],[SLA Atendimento]]</f>
        <v>0</v>
      </c>
      <c r="L1153" s="11"/>
      <c r="O1153" s="1" t="s">
        <v>30</v>
      </c>
      <c r="P1153" s="2">
        <f>Tabela2[[#This Row],[Proposta
 Inicial]]-Tabela2[[#This Row],[Proposta
 Negociada]]</f>
        <v>0</v>
      </c>
      <c r="Q1153" s="4" t="e">
        <f>Tabela2[[#This Row],[Proposta
 Negociada]]/Tabela2[[#This Row],[Proposta
 Inicial]]-1</f>
        <v>#DIV/0!</v>
      </c>
      <c r="S1153"/>
    </row>
    <row r="1154" spans="1:19" ht="15" customHeight="1">
      <c r="A1154" s="9"/>
      <c r="B1154" s="9"/>
      <c r="C1154" s="1">
        <f>Tabela2[[#This Row],[Data
Pedido]]-Tabela2[[#This Row],[Data Última Aprovação RC]]</f>
        <v>0</v>
      </c>
      <c r="J1154" s="1" t="str">
        <f t="shared" ca="1" si="27"/>
        <v/>
      </c>
      <c r="K1154" s="11">
        <f>Tabela2[[#This Row],[SLA
Padrão]]-Tabela2[[#This Row],[SLA Atendimento]]</f>
        <v>0</v>
      </c>
      <c r="L1154" s="11"/>
      <c r="O1154" s="1" t="s">
        <v>30</v>
      </c>
      <c r="P1154" s="2">
        <f>Tabela2[[#This Row],[Proposta
 Inicial]]-Tabela2[[#This Row],[Proposta
 Negociada]]</f>
        <v>0</v>
      </c>
      <c r="Q1154" s="4" t="e">
        <f>Tabela2[[#This Row],[Proposta
 Negociada]]/Tabela2[[#This Row],[Proposta
 Inicial]]-1</f>
        <v>#DIV/0!</v>
      </c>
      <c r="S1154"/>
    </row>
    <row r="1155" spans="1:19" ht="15" customHeight="1">
      <c r="A1155" s="9"/>
      <c r="B1155" s="9"/>
      <c r="C1155" s="1">
        <f>Tabela2[[#This Row],[Data
Pedido]]-Tabela2[[#This Row],[Data Última Aprovação RC]]</f>
        <v>0</v>
      </c>
      <c r="J1155" s="1" t="str">
        <f t="shared" ca="1" si="27"/>
        <v/>
      </c>
      <c r="K1155" s="11">
        <f>Tabela2[[#This Row],[SLA
Padrão]]-Tabela2[[#This Row],[SLA Atendimento]]</f>
        <v>0</v>
      </c>
      <c r="L1155" s="11"/>
      <c r="O1155" s="1" t="s">
        <v>30</v>
      </c>
      <c r="P1155" s="2">
        <f>Tabela2[[#This Row],[Proposta
 Inicial]]-Tabela2[[#This Row],[Proposta
 Negociada]]</f>
        <v>0</v>
      </c>
      <c r="Q1155" s="4" t="e">
        <f>Tabela2[[#This Row],[Proposta
 Negociada]]/Tabela2[[#This Row],[Proposta
 Inicial]]-1</f>
        <v>#DIV/0!</v>
      </c>
      <c r="S1155"/>
    </row>
    <row r="1156" spans="1:19" ht="15" customHeight="1">
      <c r="A1156" s="9"/>
      <c r="B1156" s="9"/>
      <c r="C1156" s="1">
        <f>Tabela2[[#This Row],[Data
Pedido]]-Tabela2[[#This Row],[Data Última Aprovação RC]]</f>
        <v>0</v>
      </c>
      <c r="J1156" s="1" t="str">
        <f t="shared" ca="1" si="27"/>
        <v/>
      </c>
      <c r="K1156" s="11">
        <f>Tabela2[[#This Row],[SLA
Padrão]]-Tabela2[[#This Row],[SLA Atendimento]]</f>
        <v>0</v>
      </c>
      <c r="L1156" s="11"/>
      <c r="O1156" s="1" t="s">
        <v>30</v>
      </c>
      <c r="P1156" s="2">
        <f>Tabela2[[#This Row],[Proposta
 Inicial]]-Tabela2[[#This Row],[Proposta
 Negociada]]</f>
        <v>0</v>
      </c>
      <c r="Q1156" s="4" t="e">
        <f>Tabela2[[#This Row],[Proposta
 Negociada]]/Tabela2[[#This Row],[Proposta
 Inicial]]-1</f>
        <v>#DIV/0!</v>
      </c>
      <c r="S1156"/>
    </row>
    <row r="1157" spans="1:19" ht="15" customHeight="1">
      <c r="A1157" s="9"/>
      <c r="B1157" s="9"/>
      <c r="C1157" s="1">
        <f>Tabela2[[#This Row],[Data
Pedido]]-Tabela2[[#This Row],[Data Última Aprovação RC]]</f>
        <v>0</v>
      </c>
      <c r="J1157" s="1" t="str">
        <f t="shared" ca="1" si="27"/>
        <v/>
      </c>
      <c r="K1157" s="11">
        <f>Tabela2[[#This Row],[SLA
Padrão]]-Tabela2[[#This Row],[SLA Atendimento]]</f>
        <v>0</v>
      </c>
      <c r="L1157" s="11"/>
      <c r="O1157" s="1" t="s">
        <v>30</v>
      </c>
      <c r="P1157" s="2">
        <f>Tabela2[[#This Row],[Proposta
 Inicial]]-Tabela2[[#This Row],[Proposta
 Negociada]]</f>
        <v>0</v>
      </c>
      <c r="Q1157" s="4" t="e">
        <f>Tabela2[[#This Row],[Proposta
 Negociada]]/Tabela2[[#This Row],[Proposta
 Inicial]]-1</f>
        <v>#DIV/0!</v>
      </c>
      <c r="S1157"/>
    </row>
    <row r="1158" spans="1:19" ht="15" customHeight="1">
      <c r="A1158" s="9"/>
      <c r="B1158" s="9"/>
      <c r="C1158" s="1">
        <f>Tabela2[[#This Row],[Data
Pedido]]-Tabela2[[#This Row],[Data Última Aprovação RC]]</f>
        <v>0</v>
      </c>
      <c r="J1158" s="1" t="str">
        <f t="shared" ca="1" si="27"/>
        <v/>
      </c>
      <c r="K1158" s="11">
        <f>Tabela2[[#This Row],[SLA
Padrão]]-Tabela2[[#This Row],[SLA Atendimento]]</f>
        <v>0</v>
      </c>
      <c r="L1158" s="11"/>
      <c r="O1158" s="1" t="s">
        <v>30</v>
      </c>
      <c r="P1158" s="2">
        <f>Tabela2[[#This Row],[Proposta
 Inicial]]-Tabela2[[#This Row],[Proposta
 Negociada]]</f>
        <v>0</v>
      </c>
      <c r="Q1158" s="4" t="e">
        <f>Tabela2[[#This Row],[Proposta
 Negociada]]/Tabela2[[#This Row],[Proposta
 Inicial]]-1</f>
        <v>#DIV/0!</v>
      </c>
      <c r="S1158"/>
    </row>
    <row r="1159" spans="1:19" ht="15" customHeight="1">
      <c r="A1159" s="9"/>
      <c r="B1159" s="9"/>
      <c r="C1159" s="1">
        <f>Tabela2[[#This Row],[Data
Pedido]]-Tabela2[[#This Row],[Data Última Aprovação RC]]</f>
        <v>0</v>
      </c>
      <c r="J1159" s="1" t="str">
        <f t="shared" ca="1" si="27"/>
        <v/>
      </c>
      <c r="K1159" s="11">
        <f>Tabela2[[#This Row],[SLA
Padrão]]-Tabela2[[#This Row],[SLA Atendimento]]</f>
        <v>0</v>
      </c>
      <c r="L1159" s="11"/>
      <c r="O1159" s="1" t="s">
        <v>30</v>
      </c>
      <c r="P1159" s="2">
        <f>Tabela2[[#This Row],[Proposta
 Inicial]]-Tabela2[[#This Row],[Proposta
 Negociada]]</f>
        <v>0</v>
      </c>
      <c r="Q1159" s="4" t="e">
        <f>Tabela2[[#This Row],[Proposta
 Negociada]]/Tabela2[[#This Row],[Proposta
 Inicial]]-1</f>
        <v>#DIV/0!</v>
      </c>
      <c r="S1159"/>
    </row>
    <row r="1160" spans="1:19" ht="15" customHeight="1">
      <c r="A1160" s="9"/>
      <c r="B1160" s="9"/>
      <c r="C1160" s="1">
        <f>Tabela2[[#This Row],[Data
Pedido]]-Tabela2[[#This Row],[Data Última Aprovação RC]]</f>
        <v>0</v>
      </c>
      <c r="J1160" s="1" t="str">
        <f t="shared" ca="1" si="27"/>
        <v/>
      </c>
      <c r="K1160" s="11">
        <f>Tabela2[[#This Row],[SLA
Padrão]]-Tabela2[[#This Row],[SLA Atendimento]]</f>
        <v>0</v>
      </c>
      <c r="L1160" s="11"/>
      <c r="O1160" s="1" t="s">
        <v>30</v>
      </c>
      <c r="P1160" s="2">
        <f>Tabela2[[#This Row],[Proposta
 Inicial]]-Tabela2[[#This Row],[Proposta
 Negociada]]</f>
        <v>0</v>
      </c>
      <c r="Q1160" s="4" t="e">
        <f>Tabela2[[#This Row],[Proposta
 Negociada]]/Tabela2[[#This Row],[Proposta
 Inicial]]-1</f>
        <v>#DIV/0!</v>
      </c>
      <c r="S1160"/>
    </row>
    <row r="1161" spans="1:19" ht="15" customHeight="1">
      <c r="A1161" s="9"/>
      <c r="B1161" s="9"/>
      <c r="C1161" s="1">
        <f>Tabela2[[#This Row],[Data
Pedido]]-Tabela2[[#This Row],[Data Última Aprovação RC]]</f>
        <v>0</v>
      </c>
      <c r="J1161" s="1" t="str">
        <f t="shared" ca="1" si="27"/>
        <v/>
      </c>
      <c r="K1161" s="11">
        <f>Tabela2[[#This Row],[SLA
Padrão]]-Tabela2[[#This Row],[SLA Atendimento]]</f>
        <v>0</v>
      </c>
      <c r="L1161" s="11"/>
      <c r="O1161" s="1" t="s">
        <v>30</v>
      </c>
      <c r="P1161" s="2">
        <f>Tabela2[[#This Row],[Proposta
 Inicial]]-Tabela2[[#This Row],[Proposta
 Negociada]]</f>
        <v>0</v>
      </c>
      <c r="Q1161" s="4" t="e">
        <f>Tabela2[[#This Row],[Proposta
 Negociada]]/Tabela2[[#This Row],[Proposta
 Inicial]]-1</f>
        <v>#DIV/0!</v>
      </c>
      <c r="S1161"/>
    </row>
    <row r="1162" spans="1:19" ht="15" customHeight="1">
      <c r="A1162" s="9"/>
      <c r="B1162" s="9"/>
      <c r="C1162" s="1">
        <f>Tabela2[[#This Row],[Data
Pedido]]-Tabela2[[#This Row],[Data Última Aprovação RC]]</f>
        <v>0</v>
      </c>
      <c r="J1162" s="1" t="str">
        <f t="shared" ca="1" si="27"/>
        <v/>
      </c>
      <c r="K1162" s="11">
        <f>Tabela2[[#This Row],[SLA
Padrão]]-Tabela2[[#This Row],[SLA Atendimento]]</f>
        <v>0</v>
      </c>
      <c r="L1162" s="11"/>
      <c r="O1162" s="1" t="s">
        <v>30</v>
      </c>
      <c r="P1162" s="2">
        <f>Tabela2[[#This Row],[Proposta
 Inicial]]-Tabela2[[#This Row],[Proposta
 Negociada]]</f>
        <v>0</v>
      </c>
      <c r="Q1162" s="4" t="e">
        <f>Tabela2[[#This Row],[Proposta
 Negociada]]/Tabela2[[#This Row],[Proposta
 Inicial]]-1</f>
        <v>#DIV/0!</v>
      </c>
      <c r="S1162"/>
    </row>
    <row r="1163" spans="1:19" ht="15" customHeight="1">
      <c r="A1163" s="9"/>
      <c r="B1163" s="9"/>
      <c r="C1163" s="1">
        <f>Tabela2[[#This Row],[Data
Pedido]]-Tabela2[[#This Row],[Data Última Aprovação RC]]</f>
        <v>0</v>
      </c>
      <c r="J1163" s="1" t="str">
        <f t="shared" ca="1" si="27"/>
        <v/>
      </c>
      <c r="K1163" s="11">
        <f>Tabela2[[#This Row],[SLA
Padrão]]-Tabela2[[#This Row],[SLA Atendimento]]</f>
        <v>0</v>
      </c>
      <c r="L1163" s="11"/>
      <c r="O1163" s="1" t="s">
        <v>30</v>
      </c>
      <c r="P1163" s="2">
        <f>Tabela2[[#This Row],[Proposta
 Inicial]]-Tabela2[[#This Row],[Proposta
 Negociada]]</f>
        <v>0</v>
      </c>
      <c r="Q1163" s="4" t="e">
        <f>Tabela2[[#This Row],[Proposta
 Negociada]]/Tabela2[[#This Row],[Proposta
 Inicial]]-1</f>
        <v>#DIV/0!</v>
      </c>
      <c r="S1163"/>
    </row>
    <row r="1164" spans="1:19" ht="15" customHeight="1">
      <c r="A1164" s="9"/>
      <c r="B1164" s="9"/>
      <c r="C1164" s="1">
        <f>Tabela2[[#This Row],[Data
Pedido]]-Tabela2[[#This Row],[Data Última Aprovação RC]]</f>
        <v>0</v>
      </c>
      <c r="J1164" s="1" t="str">
        <f t="shared" ca="1" si="27"/>
        <v/>
      </c>
      <c r="K1164" s="11">
        <f>Tabela2[[#This Row],[SLA
Padrão]]-Tabela2[[#This Row],[SLA Atendimento]]</f>
        <v>0</v>
      </c>
      <c r="L1164" s="11"/>
      <c r="O1164" s="1" t="s">
        <v>30</v>
      </c>
      <c r="P1164" s="2">
        <f>Tabela2[[#This Row],[Proposta
 Inicial]]-Tabela2[[#This Row],[Proposta
 Negociada]]</f>
        <v>0</v>
      </c>
      <c r="Q1164" s="4" t="e">
        <f>Tabela2[[#This Row],[Proposta
 Negociada]]/Tabela2[[#This Row],[Proposta
 Inicial]]-1</f>
        <v>#DIV/0!</v>
      </c>
      <c r="S1164"/>
    </row>
    <row r="1165" spans="1:19" ht="15" customHeight="1">
      <c r="A1165" s="9"/>
      <c r="B1165" s="9"/>
      <c r="C1165" s="1">
        <f>Tabela2[[#This Row],[Data
Pedido]]-Tabela2[[#This Row],[Data Última Aprovação RC]]</f>
        <v>0</v>
      </c>
      <c r="J1165" s="1" t="str">
        <f t="shared" ca="1" si="27"/>
        <v/>
      </c>
      <c r="K1165" s="11">
        <f>Tabela2[[#This Row],[SLA
Padrão]]-Tabela2[[#This Row],[SLA Atendimento]]</f>
        <v>0</v>
      </c>
      <c r="L1165" s="11"/>
      <c r="O1165" s="1" t="s">
        <v>30</v>
      </c>
      <c r="P1165" s="2">
        <f>Tabela2[[#This Row],[Proposta
 Inicial]]-Tabela2[[#This Row],[Proposta
 Negociada]]</f>
        <v>0</v>
      </c>
      <c r="Q1165" s="4" t="e">
        <f>Tabela2[[#This Row],[Proposta
 Negociada]]/Tabela2[[#This Row],[Proposta
 Inicial]]-1</f>
        <v>#DIV/0!</v>
      </c>
      <c r="S1165"/>
    </row>
    <row r="1166" spans="1:19" ht="15" customHeight="1">
      <c r="A1166" s="9"/>
      <c r="B1166" s="9"/>
      <c r="C1166" s="1">
        <f>Tabela2[[#This Row],[Data
Pedido]]-Tabela2[[#This Row],[Data Última Aprovação RC]]</f>
        <v>0</v>
      </c>
      <c r="J1166" s="1" t="str">
        <f t="shared" ca="1" si="27"/>
        <v/>
      </c>
      <c r="K1166" s="11">
        <f>Tabela2[[#This Row],[SLA
Padrão]]-Tabela2[[#This Row],[SLA Atendimento]]</f>
        <v>0</v>
      </c>
      <c r="L1166" s="11"/>
      <c r="O1166" s="1" t="s">
        <v>30</v>
      </c>
      <c r="P1166" s="2">
        <f>Tabela2[[#This Row],[Proposta
 Inicial]]-Tabela2[[#This Row],[Proposta
 Negociada]]</f>
        <v>0</v>
      </c>
      <c r="Q1166" s="4" t="e">
        <f>Tabela2[[#This Row],[Proposta
 Negociada]]/Tabela2[[#This Row],[Proposta
 Inicial]]-1</f>
        <v>#DIV/0!</v>
      </c>
      <c r="S1166"/>
    </row>
    <row r="1167" spans="1:19" ht="15" customHeight="1">
      <c r="A1167" s="9"/>
      <c r="B1167" s="9"/>
      <c r="C1167" s="1">
        <f>Tabela2[[#This Row],[Data
Pedido]]-Tabela2[[#This Row],[Data Última Aprovação RC]]</f>
        <v>0</v>
      </c>
      <c r="J1167" s="1" t="str">
        <f t="shared" ca="1" si="27"/>
        <v/>
      </c>
      <c r="K1167" s="11">
        <f>Tabela2[[#This Row],[SLA
Padrão]]-Tabela2[[#This Row],[SLA Atendimento]]</f>
        <v>0</v>
      </c>
      <c r="L1167" s="11"/>
      <c r="O1167" s="1" t="s">
        <v>30</v>
      </c>
      <c r="P1167" s="2">
        <f>Tabela2[[#This Row],[Proposta
 Inicial]]-Tabela2[[#This Row],[Proposta
 Negociada]]</f>
        <v>0</v>
      </c>
      <c r="Q1167" s="4" t="e">
        <f>Tabela2[[#This Row],[Proposta
 Negociada]]/Tabela2[[#This Row],[Proposta
 Inicial]]-1</f>
        <v>#DIV/0!</v>
      </c>
      <c r="S1167"/>
    </row>
    <row r="1168" spans="1:19" ht="15" customHeight="1">
      <c r="A1168" s="9"/>
      <c r="B1168" s="9"/>
      <c r="C1168" s="1">
        <f>Tabela2[[#This Row],[Data
Pedido]]-Tabela2[[#This Row],[Data Última Aprovação RC]]</f>
        <v>0</v>
      </c>
      <c r="J1168" s="1" t="str">
        <f t="shared" ca="1" si="27"/>
        <v/>
      </c>
      <c r="K1168" s="11">
        <f>Tabela2[[#This Row],[SLA
Padrão]]-Tabela2[[#This Row],[SLA Atendimento]]</f>
        <v>0</v>
      </c>
      <c r="L1168" s="11"/>
      <c r="O1168" s="1" t="s">
        <v>30</v>
      </c>
      <c r="P1168" s="2">
        <f>Tabela2[[#This Row],[Proposta
 Inicial]]-Tabela2[[#This Row],[Proposta
 Negociada]]</f>
        <v>0</v>
      </c>
      <c r="Q1168" s="4" t="e">
        <f>Tabela2[[#This Row],[Proposta
 Negociada]]/Tabela2[[#This Row],[Proposta
 Inicial]]-1</f>
        <v>#DIV/0!</v>
      </c>
      <c r="S1168"/>
    </row>
    <row r="1169" spans="1:19" ht="15" customHeight="1">
      <c r="A1169" s="9"/>
      <c r="B1169" s="9"/>
      <c r="C1169" s="1">
        <f>Tabela2[[#This Row],[Data
Pedido]]-Tabela2[[#This Row],[Data Última Aprovação RC]]</f>
        <v>0</v>
      </c>
      <c r="J1169" s="1" t="str">
        <f t="shared" ca="1" si="27"/>
        <v/>
      </c>
      <c r="K1169" s="11">
        <f>Tabela2[[#This Row],[SLA
Padrão]]-Tabela2[[#This Row],[SLA Atendimento]]</f>
        <v>0</v>
      </c>
      <c r="L1169" s="11"/>
      <c r="O1169" s="1" t="s">
        <v>30</v>
      </c>
      <c r="P1169" s="2">
        <f>Tabela2[[#This Row],[Proposta
 Inicial]]-Tabela2[[#This Row],[Proposta
 Negociada]]</f>
        <v>0</v>
      </c>
      <c r="Q1169" s="4" t="e">
        <f>Tabela2[[#This Row],[Proposta
 Negociada]]/Tabela2[[#This Row],[Proposta
 Inicial]]-1</f>
        <v>#DIV/0!</v>
      </c>
      <c r="S1169"/>
    </row>
    <row r="1170" spans="1:19" ht="15" customHeight="1">
      <c r="A1170" s="9"/>
      <c r="B1170" s="9"/>
      <c r="C1170" s="1">
        <f>Tabela2[[#This Row],[Data
Pedido]]-Tabela2[[#This Row],[Data Última Aprovação RC]]</f>
        <v>0</v>
      </c>
      <c r="J1170" s="1" t="str">
        <f t="shared" ca="1" si="27"/>
        <v/>
      </c>
      <c r="K1170" s="11">
        <f>Tabela2[[#This Row],[SLA
Padrão]]-Tabela2[[#This Row],[SLA Atendimento]]</f>
        <v>0</v>
      </c>
      <c r="L1170" s="11"/>
      <c r="O1170" s="1" t="s">
        <v>30</v>
      </c>
      <c r="P1170" s="2">
        <f>Tabela2[[#This Row],[Proposta
 Inicial]]-Tabela2[[#This Row],[Proposta
 Negociada]]</f>
        <v>0</v>
      </c>
      <c r="Q1170" s="4" t="e">
        <f>Tabela2[[#This Row],[Proposta
 Negociada]]/Tabela2[[#This Row],[Proposta
 Inicial]]-1</f>
        <v>#DIV/0!</v>
      </c>
      <c r="S1170"/>
    </row>
    <row r="1171" spans="1:19" ht="15" customHeight="1">
      <c r="A1171" s="9"/>
      <c r="B1171" s="9"/>
      <c r="C1171" s="1">
        <f>Tabela2[[#This Row],[Data
Pedido]]-Tabela2[[#This Row],[Data Última Aprovação RC]]</f>
        <v>0</v>
      </c>
      <c r="J1171" s="1" t="str">
        <f t="shared" ca="1" si="27"/>
        <v/>
      </c>
      <c r="K1171" s="11">
        <f>Tabela2[[#This Row],[SLA
Padrão]]-Tabela2[[#This Row],[SLA Atendimento]]</f>
        <v>0</v>
      </c>
      <c r="L1171" s="11"/>
      <c r="O1171" s="1" t="s">
        <v>30</v>
      </c>
      <c r="P1171" s="2">
        <f>Tabela2[[#This Row],[Proposta
 Inicial]]-Tabela2[[#This Row],[Proposta
 Negociada]]</f>
        <v>0</v>
      </c>
      <c r="Q1171" s="4" t="e">
        <f>Tabela2[[#This Row],[Proposta
 Negociada]]/Tabela2[[#This Row],[Proposta
 Inicial]]-1</f>
        <v>#DIV/0!</v>
      </c>
      <c r="S1171"/>
    </row>
    <row r="1172" spans="1:19" ht="15" customHeight="1">
      <c r="A1172" s="9"/>
      <c r="B1172" s="9"/>
      <c r="C1172" s="1">
        <f>Tabela2[[#This Row],[Data
Pedido]]-Tabela2[[#This Row],[Data Última Aprovação RC]]</f>
        <v>0</v>
      </c>
      <c r="J1172" s="1" t="str">
        <f t="shared" ca="1" si="27"/>
        <v/>
      </c>
      <c r="K1172" s="11">
        <f>Tabela2[[#This Row],[SLA
Padrão]]-Tabela2[[#This Row],[SLA Atendimento]]</f>
        <v>0</v>
      </c>
      <c r="L1172" s="11"/>
      <c r="O1172" s="1" t="s">
        <v>30</v>
      </c>
      <c r="P1172" s="2">
        <f>Tabela2[[#This Row],[Proposta
 Inicial]]-Tabela2[[#This Row],[Proposta
 Negociada]]</f>
        <v>0</v>
      </c>
      <c r="Q1172" s="4" t="e">
        <f>Tabela2[[#This Row],[Proposta
 Negociada]]/Tabela2[[#This Row],[Proposta
 Inicial]]-1</f>
        <v>#DIV/0!</v>
      </c>
      <c r="S1172"/>
    </row>
    <row r="1173" spans="1:19" ht="15" customHeight="1">
      <c r="A1173" s="9"/>
      <c r="B1173" s="9"/>
      <c r="C1173" s="1">
        <f>Tabela2[[#This Row],[Data
Pedido]]-Tabela2[[#This Row],[Data Última Aprovação RC]]</f>
        <v>0</v>
      </c>
      <c r="J1173" s="1" t="str">
        <f t="shared" ca="1" si="27"/>
        <v/>
      </c>
      <c r="K1173" s="11">
        <f>Tabela2[[#This Row],[SLA
Padrão]]-Tabela2[[#This Row],[SLA Atendimento]]</f>
        <v>0</v>
      </c>
      <c r="L1173" s="11"/>
      <c r="O1173" s="1" t="s">
        <v>30</v>
      </c>
      <c r="P1173" s="2">
        <f>Tabela2[[#This Row],[Proposta
 Inicial]]-Tabela2[[#This Row],[Proposta
 Negociada]]</f>
        <v>0</v>
      </c>
      <c r="Q1173" s="4" t="e">
        <f>Tabela2[[#This Row],[Proposta
 Negociada]]/Tabela2[[#This Row],[Proposta
 Inicial]]-1</f>
        <v>#DIV/0!</v>
      </c>
      <c r="S1173"/>
    </row>
    <row r="1174" spans="1:19" ht="15" customHeight="1">
      <c r="A1174" s="9"/>
      <c r="B1174" s="9"/>
      <c r="C1174" s="1">
        <f>Tabela2[[#This Row],[Data
Pedido]]-Tabela2[[#This Row],[Data Última Aprovação RC]]</f>
        <v>0</v>
      </c>
      <c r="J1174" s="1" t="str">
        <f t="shared" ca="1" si="27"/>
        <v/>
      </c>
      <c r="K1174" s="11">
        <f>Tabela2[[#This Row],[SLA
Padrão]]-Tabela2[[#This Row],[SLA Atendimento]]</f>
        <v>0</v>
      </c>
      <c r="L1174" s="11"/>
      <c r="O1174" s="1" t="s">
        <v>30</v>
      </c>
      <c r="P1174" s="2">
        <f>Tabela2[[#This Row],[Proposta
 Inicial]]-Tabela2[[#This Row],[Proposta
 Negociada]]</f>
        <v>0</v>
      </c>
      <c r="Q1174" s="4" t="e">
        <f>Tabela2[[#This Row],[Proposta
 Negociada]]/Tabela2[[#This Row],[Proposta
 Inicial]]-1</f>
        <v>#DIV/0!</v>
      </c>
      <c r="S1174"/>
    </row>
    <row r="1175" spans="1:19" ht="15" customHeight="1">
      <c r="A1175" s="9"/>
      <c r="B1175" s="9"/>
      <c r="C1175" s="1">
        <f>Tabela2[[#This Row],[Data
Pedido]]-Tabela2[[#This Row],[Data Última Aprovação RC]]</f>
        <v>0</v>
      </c>
      <c r="J1175" s="1" t="str">
        <f t="shared" ca="1" si="27"/>
        <v/>
      </c>
      <c r="K1175" s="11">
        <f>Tabela2[[#This Row],[SLA
Padrão]]-Tabela2[[#This Row],[SLA Atendimento]]</f>
        <v>0</v>
      </c>
      <c r="L1175" s="11"/>
      <c r="O1175" s="1" t="s">
        <v>30</v>
      </c>
      <c r="P1175" s="2">
        <f>Tabela2[[#This Row],[Proposta
 Inicial]]-Tabela2[[#This Row],[Proposta
 Negociada]]</f>
        <v>0</v>
      </c>
      <c r="Q1175" s="4" t="e">
        <f>Tabela2[[#This Row],[Proposta
 Negociada]]/Tabela2[[#This Row],[Proposta
 Inicial]]-1</f>
        <v>#DIV/0!</v>
      </c>
      <c r="S1175"/>
    </row>
    <row r="1176" spans="1:19" ht="15" customHeight="1">
      <c r="A1176" s="9"/>
      <c r="B1176" s="9"/>
      <c r="C1176" s="1">
        <f>Tabela2[[#This Row],[Data
Pedido]]-Tabela2[[#This Row],[Data Última Aprovação RC]]</f>
        <v>0</v>
      </c>
      <c r="J1176" s="1" t="str">
        <f t="shared" ca="1" si="27"/>
        <v/>
      </c>
      <c r="K1176" s="11">
        <f>Tabela2[[#This Row],[SLA
Padrão]]-Tabela2[[#This Row],[SLA Atendimento]]</f>
        <v>0</v>
      </c>
      <c r="L1176" s="11"/>
      <c r="O1176" s="1" t="s">
        <v>30</v>
      </c>
      <c r="P1176" s="2">
        <f>Tabela2[[#This Row],[Proposta
 Inicial]]-Tabela2[[#This Row],[Proposta
 Negociada]]</f>
        <v>0</v>
      </c>
      <c r="Q1176" s="4" t="e">
        <f>Tabela2[[#This Row],[Proposta
 Negociada]]/Tabela2[[#This Row],[Proposta
 Inicial]]-1</f>
        <v>#DIV/0!</v>
      </c>
      <c r="S1176"/>
    </row>
    <row r="1177" spans="1:19" ht="15" customHeight="1">
      <c r="A1177" s="9"/>
      <c r="B1177" s="9"/>
      <c r="C1177" s="1">
        <f>Tabela2[[#This Row],[Data
Pedido]]-Tabela2[[#This Row],[Data Última Aprovação RC]]</f>
        <v>0</v>
      </c>
      <c r="J1177" s="1" t="str">
        <f t="shared" ca="1" si="27"/>
        <v/>
      </c>
      <c r="K1177" s="11">
        <f>Tabela2[[#This Row],[SLA
Padrão]]-Tabela2[[#This Row],[SLA Atendimento]]</f>
        <v>0</v>
      </c>
      <c r="L1177" s="11"/>
      <c r="O1177" s="1" t="s">
        <v>30</v>
      </c>
      <c r="P1177" s="2">
        <f>Tabela2[[#This Row],[Proposta
 Inicial]]-Tabela2[[#This Row],[Proposta
 Negociada]]</f>
        <v>0</v>
      </c>
      <c r="Q1177" s="4" t="e">
        <f>Tabela2[[#This Row],[Proposta
 Negociada]]/Tabela2[[#This Row],[Proposta
 Inicial]]-1</f>
        <v>#DIV/0!</v>
      </c>
      <c r="S1177"/>
    </row>
    <row r="1178" spans="1:19" ht="15" customHeight="1">
      <c r="A1178" s="9"/>
      <c r="B1178" s="9"/>
      <c r="C1178" s="1">
        <f>Tabela2[[#This Row],[Data
Pedido]]-Tabela2[[#This Row],[Data Última Aprovação RC]]</f>
        <v>0</v>
      </c>
      <c r="J1178" s="1" t="str">
        <f t="shared" ca="1" si="27"/>
        <v/>
      </c>
      <c r="K1178" s="11">
        <f>Tabela2[[#This Row],[SLA
Padrão]]-Tabela2[[#This Row],[SLA Atendimento]]</f>
        <v>0</v>
      </c>
      <c r="L1178" s="11"/>
      <c r="O1178" s="1" t="s">
        <v>30</v>
      </c>
      <c r="P1178" s="2">
        <f>Tabela2[[#This Row],[Proposta
 Inicial]]-Tabela2[[#This Row],[Proposta
 Negociada]]</f>
        <v>0</v>
      </c>
      <c r="Q1178" s="4" t="e">
        <f>Tabela2[[#This Row],[Proposta
 Negociada]]/Tabela2[[#This Row],[Proposta
 Inicial]]-1</f>
        <v>#DIV/0!</v>
      </c>
      <c r="S1178"/>
    </row>
    <row r="1179" spans="1:19" ht="15" customHeight="1">
      <c r="A1179" s="9"/>
      <c r="B1179" s="9"/>
      <c r="C1179" s="1">
        <f>Tabela2[[#This Row],[Data
Pedido]]-Tabela2[[#This Row],[Data Última Aprovação RC]]</f>
        <v>0</v>
      </c>
      <c r="J1179" s="1" t="str">
        <f t="shared" ca="1" si="27"/>
        <v/>
      </c>
      <c r="K1179" s="11">
        <f>Tabela2[[#This Row],[SLA
Padrão]]-Tabela2[[#This Row],[SLA Atendimento]]</f>
        <v>0</v>
      </c>
      <c r="L1179" s="11"/>
      <c r="O1179" s="1" t="s">
        <v>30</v>
      </c>
      <c r="P1179" s="2">
        <f>Tabela2[[#This Row],[Proposta
 Inicial]]-Tabela2[[#This Row],[Proposta
 Negociada]]</f>
        <v>0</v>
      </c>
      <c r="Q1179" s="4" t="e">
        <f>Tabela2[[#This Row],[Proposta
 Negociada]]/Tabela2[[#This Row],[Proposta
 Inicial]]-1</f>
        <v>#DIV/0!</v>
      </c>
      <c r="S1179"/>
    </row>
    <row r="1180" spans="1:19" ht="15" customHeight="1">
      <c r="A1180" s="9"/>
      <c r="B1180" s="9"/>
      <c r="C1180" s="1">
        <f>Tabela2[[#This Row],[Data
Pedido]]-Tabela2[[#This Row],[Data Última Aprovação RC]]</f>
        <v>0</v>
      </c>
      <c r="J1180" s="1" t="str">
        <f t="shared" ca="1" si="27"/>
        <v/>
      </c>
      <c r="K1180" s="11">
        <f>Tabela2[[#This Row],[SLA
Padrão]]-Tabela2[[#This Row],[SLA Atendimento]]</f>
        <v>0</v>
      </c>
      <c r="L1180" s="11"/>
      <c r="O1180" s="1" t="s">
        <v>30</v>
      </c>
      <c r="P1180" s="2">
        <f>Tabela2[[#This Row],[Proposta
 Inicial]]-Tabela2[[#This Row],[Proposta
 Negociada]]</f>
        <v>0</v>
      </c>
      <c r="Q1180" s="4" t="e">
        <f>Tabela2[[#This Row],[Proposta
 Negociada]]/Tabela2[[#This Row],[Proposta
 Inicial]]-1</f>
        <v>#DIV/0!</v>
      </c>
      <c r="S1180"/>
    </row>
    <row r="1181" spans="1:19" ht="15" customHeight="1">
      <c r="A1181" s="9"/>
      <c r="B1181" s="9"/>
      <c r="C1181" s="1">
        <f>Tabela2[[#This Row],[Data
Pedido]]-Tabela2[[#This Row],[Data Última Aprovação RC]]</f>
        <v>0</v>
      </c>
      <c r="J1181" s="1" t="str">
        <f t="shared" ca="1" si="27"/>
        <v/>
      </c>
      <c r="K1181" s="11">
        <f>Tabela2[[#This Row],[SLA
Padrão]]-Tabela2[[#This Row],[SLA Atendimento]]</f>
        <v>0</v>
      </c>
      <c r="L1181" s="11"/>
      <c r="O1181" s="1" t="s">
        <v>30</v>
      </c>
      <c r="P1181" s="2">
        <f>Tabela2[[#This Row],[Proposta
 Inicial]]-Tabela2[[#This Row],[Proposta
 Negociada]]</f>
        <v>0</v>
      </c>
      <c r="Q1181" s="4" t="e">
        <f>Tabela2[[#This Row],[Proposta
 Negociada]]/Tabela2[[#This Row],[Proposta
 Inicial]]-1</f>
        <v>#DIV/0!</v>
      </c>
      <c r="S1181"/>
    </row>
    <row r="1182" spans="1:19" ht="15" customHeight="1">
      <c r="A1182" s="9"/>
      <c r="B1182" s="9"/>
      <c r="C1182" s="1">
        <f>Tabela2[[#This Row],[Data
Pedido]]-Tabela2[[#This Row],[Data Última Aprovação RC]]</f>
        <v>0</v>
      </c>
      <c r="J1182" s="1" t="str">
        <f t="shared" ca="1" si="27"/>
        <v/>
      </c>
      <c r="K1182" s="11">
        <f>Tabela2[[#This Row],[SLA
Padrão]]-Tabela2[[#This Row],[SLA Atendimento]]</f>
        <v>0</v>
      </c>
      <c r="L1182" s="11"/>
      <c r="O1182" s="1" t="s">
        <v>30</v>
      </c>
      <c r="P1182" s="2">
        <f>Tabela2[[#This Row],[Proposta
 Inicial]]-Tabela2[[#This Row],[Proposta
 Negociada]]</f>
        <v>0</v>
      </c>
      <c r="Q1182" s="4" t="e">
        <f>Tabela2[[#This Row],[Proposta
 Negociada]]/Tabela2[[#This Row],[Proposta
 Inicial]]-1</f>
        <v>#DIV/0!</v>
      </c>
      <c r="S1182"/>
    </row>
    <row r="1183" spans="1:19" ht="15" customHeight="1">
      <c r="A1183" s="9"/>
      <c r="B1183" s="9"/>
      <c r="C1183" s="1">
        <f>Tabela2[[#This Row],[Data
Pedido]]-Tabela2[[#This Row],[Data Última Aprovação RC]]</f>
        <v>0</v>
      </c>
      <c r="J1183" s="1" t="str">
        <f t="shared" ca="1" si="27"/>
        <v/>
      </c>
      <c r="K1183" s="11">
        <f>Tabela2[[#This Row],[SLA
Padrão]]-Tabela2[[#This Row],[SLA Atendimento]]</f>
        <v>0</v>
      </c>
      <c r="L1183" s="11"/>
      <c r="O1183" s="1" t="s">
        <v>30</v>
      </c>
      <c r="P1183" s="2">
        <f>Tabela2[[#This Row],[Proposta
 Inicial]]-Tabela2[[#This Row],[Proposta
 Negociada]]</f>
        <v>0</v>
      </c>
      <c r="Q1183" s="4" t="e">
        <f>Tabela2[[#This Row],[Proposta
 Negociada]]/Tabela2[[#This Row],[Proposta
 Inicial]]-1</f>
        <v>#DIV/0!</v>
      </c>
      <c r="S1183"/>
    </row>
    <row r="1184" spans="1:19" ht="15" customHeight="1">
      <c r="A1184" s="9"/>
      <c r="B1184" s="9"/>
      <c r="C1184" s="1">
        <f>Tabela2[[#This Row],[Data
Pedido]]-Tabela2[[#This Row],[Data Última Aprovação RC]]</f>
        <v>0</v>
      </c>
      <c r="J1184" s="1" t="str">
        <f t="shared" ca="1" si="27"/>
        <v/>
      </c>
      <c r="K1184" s="11">
        <f>Tabela2[[#This Row],[SLA
Padrão]]-Tabela2[[#This Row],[SLA Atendimento]]</f>
        <v>0</v>
      </c>
      <c r="L1184" s="11"/>
      <c r="O1184" s="1" t="s">
        <v>30</v>
      </c>
      <c r="P1184" s="2">
        <f>Tabela2[[#This Row],[Proposta
 Inicial]]-Tabela2[[#This Row],[Proposta
 Negociada]]</f>
        <v>0</v>
      </c>
      <c r="Q1184" s="4" t="e">
        <f>Tabela2[[#This Row],[Proposta
 Negociada]]/Tabela2[[#This Row],[Proposta
 Inicial]]-1</f>
        <v>#DIV/0!</v>
      </c>
      <c r="S1184"/>
    </row>
    <row r="1185" spans="1:19" ht="15" customHeight="1">
      <c r="A1185" s="9"/>
      <c r="B1185" s="9"/>
      <c r="C1185" s="1">
        <f>Tabela2[[#This Row],[Data
Pedido]]-Tabela2[[#This Row],[Data Última Aprovação RC]]</f>
        <v>0</v>
      </c>
      <c r="J1185" s="1" t="str">
        <f t="shared" ca="1" si="27"/>
        <v/>
      </c>
      <c r="K1185" s="11">
        <f>Tabela2[[#This Row],[SLA
Padrão]]-Tabela2[[#This Row],[SLA Atendimento]]</f>
        <v>0</v>
      </c>
      <c r="L1185" s="11"/>
      <c r="O1185" s="1" t="s">
        <v>30</v>
      </c>
      <c r="P1185" s="2">
        <f>Tabela2[[#This Row],[Proposta
 Inicial]]-Tabela2[[#This Row],[Proposta
 Negociada]]</f>
        <v>0</v>
      </c>
      <c r="Q1185" s="4" t="e">
        <f>Tabela2[[#This Row],[Proposta
 Negociada]]/Tabela2[[#This Row],[Proposta
 Inicial]]-1</f>
        <v>#DIV/0!</v>
      </c>
      <c r="S1185"/>
    </row>
    <row r="1186" spans="1:19" ht="15" customHeight="1">
      <c r="A1186" s="9"/>
      <c r="B1186" s="9"/>
      <c r="C1186" s="1">
        <f>Tabela2[[#This Row],[Data
Pedido]]-Tabela2[[#This Row],[Data Última Aprovação RC]]</f>
        <v>0</v>
      </c>
      <c r="J1186" s="1" t="str">
        <f t="shared" ca="1" si="27"/>
        <v/>
      </c>
      <c r="K1186" s="11">
        <f>Tabela2[[#This Row],[SLA
Padrão]]-Tabela2[[#This Row],[SLA Atendimento]]</f>
        <v>0</v>
      </c>
      <c r="L1186" s="11"/>
      <c r="O1186" s="1" t="s">
        <v>30</v>
      </c>
      <c r="P1186" s="2">
        <f>Tabela2[[#This Row],[Proposta
 Inicial]]-Tabela2[[#This Row],[Proposta
 Negociada]]</f>
        <v>0</v>
      </c>
      <c r="Q1186" s="4" t="e">
        <f>Tabela2[[#This Row],[Proposta
 Negociada]]/Tabela2[[#This Row],[Proposta
 Inicial]]-1</f>
        <v>#DIV/0!</v>
      </c>
      <c r="S1186"/>
    </row>
    <row r="1187" spans="1:19" ht="15" customHeight="1">
      <c r="A1187" s="9"/>
      <c r="B1187" s="9"/>
      <c r="C1187" s="1">
        <f>Tabela2[[#This Row],[Data
Pedido]]-Tabela2[[#This Row],[Data Última Aprovação RC]]</f>
        <v>0</v>
      </c>
      <c r="J1187" s="1" t="str">
        <f t="shared" ca="1" si="27"/>
        <v/>
      </c>
      <c r="K1187" s="11">
        <f>Tabela2[[#This Row],[SLA
Padrão]]-Tabela2[[#This Row],[SLA Atendimento]]</f>
        <v>0</v>
      </c>
      <c r="L1187" s="11"/>
      <c r="O1187" s="1" t="s">
        <v>30</v>
      </c>
      <c r="P1187" s="2">
        <f>Tabela2[[#This Row],[Proposta
 Inicial]]-Tabela2[[#This Row],[Proposta
 Negociada]]</f>
        <v>0</v>
      </c>
      <c r="Q1187" s="4" t="e">
        <f>Tabela2[[#This Row],[Proposta
 Negociada]]/Tabela2[[#This Row],[Proposta
 Inicial]]-1</f>
        <v>#DIV/0!</v>
      </c>
      <c r="S1187"/>
    </row>
    <row r="1188" spans="1:19" ht="15" customHeight="1">
      <c r="A1188" s="9"/>
      <c r="B1188" s="9"/>
      <c r="C1188" s="1">
        <f>Tabela2[[#This Row],[Data
Pedido]]-Tabela2[[#This Row],[Data Última Aprovação RC]]</f>
        <v>0</v>
      </c>
      <c r="J1188" s="1" t="str">
        <f t="shared" ca="1" si="27"/>
        <v/>
      </c>
      <c r="K1188" s="11">
        <f>Tabela2[[#This Row],[SLA
Padrão]]-Tabela2[[#This Row],[SLA Atendimento]]</f>
        <v>0</v>
      </c>
      <c r="L1188" s="11"/>
      <c r="O1188" s="1" t="s">
        <v>30</v>
      </c>
      <c r="P1188" s="2">
        <f>Tabela2[[#This Row],[Proposta
 Inicial]]-Tabela2[[#This Row],[Proposta
 Negociada]]</f>
        <v>0</v>
      </c>
      <c r="Q1188" s="4" t="e">
        <f>Tabela2[[#This Row],[Proposta
 Negociada]]/Tabela2[[#This Row],[Proposta
 Inicial]]-1</f>
        <v>#DIV/0!</v>
      </c>
      <c r="S1188"/>
    </row>
    <row r="1189" spans="1:19" ht="15" customHeight="1">
      <c r="A1189" s="9"/>
      <c r="B1189" s="9"/>
      <c r="C1189" s="1">
        <f>Tabela2[[#This Row],[Data
Pedido]]-Tabela2[[#This Row],[Data Última Aprovação RC]]</f>
        <v>0</v>
      </c>
      <c r="J1189" s="1" t="str">
        <f t="shared" ca="1" si="27"/>
        <v/>
      </c>
      <c r="K1189" s="11">
        <f>Tabela2[[#This Row],[SLA
Padrão]]-Tabela2[[#This Row],[SLA Atendimento]]</f>
        <v>0</v>
      </c>
      <c r="L1189" s="11"/>
      <c r="O1189" s="1" t="s">
        <v>30</v>
      </c>
      <c r="P1189" s="2">
        <f>Tabela2[[#This Row],[Proposta
 Inicial]]-Tabela2[[#This Row],[Proposta
 Negociada]]</f>
        <v>0</v>
      </c>
      <c r="Q1189" s="4" t="e">
        <f>Tabela2[[#This Row],[Proposta
 Negociada]]/Tabela2[[#This Row],[Proposta
 Inicial]]-1</f>
        <v>#DIV/0!</v>
      </c>
      <c r="S1189"/>
    </row>
    <row r="1190" spans="1:19" ht="15" customHeight="1">
      <c r="A1190" s="9"/>
      <c r="B1190" s="9"/>
      <c r="C1190" s="1">
        <f>Tabela2[[#This Row],[Data
Pedido]]-Tabela2[[#This Row],[Data Última Aprovação RC]]</f>
        <v>0</v>
      </c>
      <c r="J1190" s="1" t="str">
        <f t="shared" ca="1" si="27"/>
        <v/>
      </c>
      <c r="K1190" s="11">
        <f>Tabela2[[#This Row],[SLA
Padrão]]-Tabela2[[#This Row],[SLA Atendimento]]</f>
        <v>0</v>
      </c>
      <c r="L1190" s="11"/>
      <c r="O1190" s="1" t="s">
        <v>30</v>
      </c>
      <c r="P1190" s="2">
        <f>Tabela2[[#This Row],[Proposta
 Inicial]]-Tabela2[[#This Row],[Proposta
 Negociada]]</f>
        <v>0</v>
      </c>
      <c r="Q1190" s="4" t="e">
        <f>Tabela2[[#This Row],[Proposta
 Negociada]]/Tabela2[[#This Row],[Proposta
 Inicial]]-1</f>
        <v>#DIV/0!</v>
      </c>
      <c r="S1190"/>
    </row>
    <row r="1191" spans="1:19" ht="15" customHeight="1">
      <c r="A1191" s="9"/>
      <c r="B1191" s="9"/>
      <c r="C1191" s="1">
        <f>Tabela2[[#This Row],[Data
Pedido]]-Tabela2[[#This Row],[Data Última Aprovação RC]]</f>
        <v>0</v>
      </c>
      <c r="J1191" s="1" t="str">
        <f t="shared" ca="1" si="27"/>
        <v/>
      </c>
      <c r="K1191" s="11">
        <f>Tabela2[[#This Row],[SLA
Padrão]]-Tabela2[[#This Row],[SLA Atendimento]]</f>
        <v>0</v>
      </c>
      <c r="L1191" s="11"/>
      <c r="O1191" s="1" t="s">
        <v>30</v>
      </c>
      <c r="P1191" s="2">
        <f>Tabela2[[#This Row],[Proposta
 Inicial]]-Tabela2[[#This Row],[Proposta
 Negociada]]</f>
        <v>0</v>
      </c>
      <c r="Q1191" s="4" t="e">
        <f>Tabela2[[#This Row],[Proposta
 Negociada]]/Tabela2[[#This Row],[Proposta
 Inicial]]-1</f>
        <v>#DIV/0!</v>
      </c>
      <c r="S1191"/>
    </row>
    <row r="1192" spans="1:19" ht="15" customHeight="1">
      <c r="A1192" s="9"/>
      <c r="B1192" s="9"/>
      <c r="C1192" s="1">
        <f>Tabela2[[#This Row],[Data
Pedido]]-Tabela2[[#This Row],[Data Última Aprovação RC]]</f>
        <v>0</v>
      </c>
      <c r="J1192" s="1" t="str">
        <f t="shared" ca="1" si="27"/>
        <v/>
      </c>
      <c r="K1192" s="11">
        <f>Tabela2[[#This Row],[SLA
Padrão]]-Tabela2[[#This Row],[SLA Atendimento]]</f>
        <v>0</v>
      </c>
      <c r="L1192" s="11"/>
      <c r="O1192" s="1" t="s">
        <v>30</v>
      </c>
      <c r="P1192" s="2">
        <f>Tabela2[[#This Row],[Proposta
 Inicial]]-Tabela2[[#This Row],[Proposta
 Negociada]]</f>
        <v>0</v>
      </c>
      <c r="Q1192" s="4" t="e">
        <f>Tabela2[[#This Row],[Proposta
 Negociada]]/Tabela2[[#This Row],[Proposta
 Inicial]]-1</f>
        <v>#DIV/0!</v>
      </c>
      <c r="S1192"/>
    </row>
    <row r="1193" spans="1:19" ht="15" customHeight="1">
      <c r="A1193" s="9"/>
      <c r="B1193" s="9"/>
      <c r="C1193" s="1">
        <f>Tabela2[[#This Row],[Data
Pedido]]-Tabela2[[#This Row],[Data Última Aprovação RC]]</f>
        <v>0</v>
      </c>
      <c r="J1193" s="1" t="str">
        <f t="shared" ca="1" si="27"/>
        <v/>
      </c>
      <c r="K1193" s="11">
        <f>Tabela2[[#This Row],[SLA
Padrão]]-Tabela2[[#This Row],[SLA Atendimento]]</f>
        <v>0</v>
      </c>
      <c r="L1193" s="11"/>
      <c r="O1193" s="1" t="s">
        <v>30</v>
      </c>
      <c r="P1193" s="2">
        <f>Tabela2[[#This Row],[Proposta
 Inicial]]-Tabela2[[#This Row],[Proposta
 Negociada]]</f>
        <v>0</v>
      </c>
      <c r="Q1193" s="4" t="e">
        <f>Tabela2[[#This Row],[Proposta
 Negociada]]/Tabela2[[#This Row],[Proposta
 Inicial]]-1</f>
        <v>#DIV/0!</v>
      </c>
      <c r="S1193"/>
    </row>
    <row r="1194" spans="1:19" ht="15" customHeight="1">
      <c r="A1194" s="9"/>
      <c r="B1194" s="9"/>
      <c r="C1194" s="1">
        <f>Tabela2[[#This Row],[Data
Pedido]]-Tabela2[[#This Row],[Data Última Aprovação RC]]</f>
        <v>0</v>
      </c>
      <c r="J1194" s="1" t="str">
        <f t="shared" ca="1" si="27"/>
        <v/>
      </c>
      <c r="K1194" s="11">
        <f>Tabela2[[#This Row],[SLA
Padrão]]-Tabela2[[#This Row],[SLA Atendimento]]</f>
        <v>0</v>
      </c>
      <c r="L1194" s="11"/>
      <c r="O1194" s="1" t="s">
        <v>30</v>
      </c>
      <c r="P1194" s="2">
        <f>Tabela2[[#This Row],[Proposta
 Inicial]]-Tabela2[[#This Row],[Proposta
 Negociada]]</f>
        <v>0</v>
      </c>
      <c r="Q1194" s="4" t="e">
        <f>Tabela2[[#This Row],[Proposta
 Negociada]]/Tabela2[[#This Row],[Proposta
 Inicial]]-1</f>
        <v>#DIV/0!</v>
      </c>
      <c r="S1194"/>
    </row>
    <row r="1195" spans="1:19" ht="15" customHeight="1">
      <c r="A1195" s="9"/>
      <c r="B1195" s="9"/>
      <c r="C1195" s="1">
        <f>Tabela2[[#This Row],[Data
Pedido]]-Tabela2[[#This Row],[Data Última Aprovação RC]]</f>
        <v>0</v>
      </c>
      <c r="J1195" s="1" t="str">
        <f t="shared" ref="J1195:J1258" ca="1" si="28">IF(A1195="","",IF(B1195="",IF(TODAY()-A1195&gt;I1195,"ATRASADA","EM ANDAMENTO"),IF(B1195-A1195&gt;I1195,"ATRASADA","NO PRAZO")))</f>
        <v/>
      </c>
      <c r="K1195" s="11">
        <f>Tabela2[[#This Row],[SLA
Padrão]]-Tabela2[[#This Row],[SLA Atendimento]]</f>
        <v>0</v>
      </c>
      <c r="L1195" s="11"/>
      <c r="O1195" s="1" t="s">
        <v>30</v>
      </c>
      <c r="P1195" s="2">
        <f>Tabela2[[#This Row],[Proposta
 Inicial]]-Tabela2[[#This Row],[Proposta
 Negociada]]</f>
        <v>0</v>
      </c>
      <c r="Q1195" s="4" t="e">
        <f>Tabela2[[#This Row],[Proposta
 Negociada]]/Tabela2[[#This Row],[Proposta
 Inicial]]-1</f>
        <v>#DIV/0!</v>
      </c>
      <c r="S1195"/>
    </row>
    <row r="1196" spans="1:19" ht="15" customHeight="1">
      <c r="A1196" s="9"/>
      <c r="B1196" s="9"/>
      <c r="C1196" s="1">
        <f>Tabela2[[#This Row],[Data
Pedido]]-Tabela2[[#This Row],[Data Última Aprovação RC]]</f>
        <v>0</v>
      </c>
      <c r="J1196" s="1" t="str">
        <f t="shared" ca="1" si="28"/>
        <v/>
      </c>
      <c r="K1196" s="11">
        <f>Tabela2[[#This Row],[SLA
Padrão]]-Tabela2[[#This Row],[SLA Atendimento]]</f>
        <v>0</v>
      </c>
      <c r="L1196" s="11"/>
      <c r="O1196" s="1" t="s">
        <v>30</v>
      </c>
      <c r="P1196" s="2">
        <f>Tabela2[[#This Row],[Proposta
 Inicial]]-Tabela2[[#This Row],[Proposta
 Negociada]]</f>
        <v>0</v>
      </c>
      <c r="Q1196" s="4" t="e">
        <f>Tabela2[[#This Row],[Proposta
 Negociada]]/Tabela2[[#This Row],[Proposta
 Inicial]]-1</f>
        <v>#DIV/0!</v>
      </c>
      <c r="S1196"/>
    </row>
    <row r="1197" spans="1:19" ht="15" customHeight="1">
      <c r="A1197" s="9"/>
      <c r="B1197" s="9"/>
      <c r="C1197" s="1">
        <f>Tabela2[[#This Row],[Data
Pedido]]-Tabela2[[#This Row],[Data Última Aprovação RC]]</f>
        <v>0</v>
      </c>
      <c r="J1197" s="1" t="str">
        <f t="shared" ca="1" si="28"/>
        <v/>
      </c>
      <c r="K1197" s="11">
        <f>Tabela2[[#This Row],[SLA
Padrão]]-Tabela2[[#This Row],[SLA Atendimento]]</f>
        <v>0</v>
      </c>
      <c r="L1197" s="11"/>
      <c r="O1197" s="1" t="s">
        <v>30</v>
      </c>
      <c r="P1197" s="2">
        <f>Tabela2[[#This Row],[Proposta
 Inicial]]-Tabela2[[#This Row],[Proposta
 Negociada]]</f>
        <v>0</v>
      </c>
      <c r="Q1197" s="4" t="e">
        <f>Tabela2[[#This Row],[Proposta
 Negociada]]/Tabela2[[#This Row],[Proposta
 Inicial]]-1</f>
        <v>#DIV/0!</v>
      </c>
      <c r="S1197"/>
    </row>
    <row r="1198" spans="1:19" ht="15" customHeight="1">
      <c r="A1198" s="9"/>
      <c r="B1198" s="9"/>
      <c r="C1198" s="1">
        <f>Tabela2[[#This Row],[Data
Pedido]]-Tabela2[[#This Row],[Data Última Aprovação RC]]</f>
        <v>0</v>
      </c>
      <c r="J1198" s="1" t="str">
        <f t="shared" ca="1" si="28"/>
        <v/>
      </c>
      <c r="K1198" s="11">
        <f>Tabela2[[#This Row],[SLA
Padrão]]-Tabela2[[#This Row],[SLA Atendimento]]</f>
        <v>0</v>
      </c>
      <c r="L1198" s="11"/>
      <c r="O1198" s="1" t="s">
        <v>30</v>
      </c>
      <c r="P1198" s="2">
        <f>Tabela2[[#This Row],[Proposta
 Inicial]]-Tabela2[[#This Row],[Proposta
 Negociada]]</f>
        <v>0</v>
      </c>
      <c r="Q1198" s="4" t="e">
        <f>Tabela2[[#This Row],[Proposta
 Negociada]]/Tabela2[[#This Row],[Proposta
 Inicial]]-1</f>
        <v>#DIV/0!</v>
      </c>
      <c r="S1198"/>
    </row>
    <row r="1199" spans="1:19" ht="15" customHeight="1">
      <c r="A1199" s="9"/>
      <c r="B1199" s="9"/>
      <c r="C1199" s="1">
        <f>Tabela2[[#This Row],[Data
Pedido]]-Tabela2[[#This Row],[Data Última Aprovação RC]]</f>
        <v>0</v>
      </c>
      <c r="J1199" s="1" t="str">
        <f t="shared" ca="1" si="28"/>
        <v/>
      </c>
      <c r="K1199" s="11">
        <f>Tabela2[[#This Row],[SLA
Padrão]]-Tabela2[[#This Row],[SLA Atendimento]]</f>
        <v>0</v>
      </c>
      <c r="L1199" s="11"/>
      <c r="O1199" s="1" t="s">
        <v>30</v>
      </c>
      <c r="P1199" s="2">
        <f>Tabela2[[#This Row],[Proposta
 Inicial]]-Tabela2[[#This Row],[Proposta
 Negociada]]</f>
        <v>0</v>
      </c>
      <c r="Q1199" s="4" t="e">
        <f>Tabela2[[#This Row],[Proposta
 Negociada]]/Tabela2[[#This Row],[Proposta
 Inicial]]-1</f>
        <v>#DIV/0!</v>
      </c>
      <c r="S1199"/>
    </row>
    <row r="1200" spans="1:19" ht="15" customHeight="1">
      <c r="A1200" s="9"/>
      <c r="B1200" s="9"/>
      <c r="C1200" s="1">
        <f>Tabela2[[#This Row],[Data
Pedido]]-Tabela2[[#This Row],[Data Última Aprovação RC]]</f>
        <v>0</v>
      </c>
      <c r="J1200" s="1" t="str">
        <f t="shared" ca="1" si="28"/>
        <v/>
      </c>
      <c r="K1200" s="11">
        <f>Tabela2[[#This Row],[SLA
Padrão]]-Tabela2[[#This Row],[SLA Atendimento]]</f>
        <v>0</v>
      </c>
      <c r="L1200" s="11"/>
      <c r="O1200" s="1" t="s">
        <v>30</v>
      </c>
      <c r="P1200" s="2">
        <f>Tabela2[[#This Row],[Proposta
 Inicial]]-Tabela2[[#This Row],[Proposta
 Negociada]]</f>
        <v>0</v>
      </c>
      <c r="Q1200" s="4" t="e">
        <f>Tabela2[[#This Row],[Proposta
 Negociada]]/Tabela2[[#This Row],[Proposta
 Inicial]]-1</f>
        <v>#DIV/0!</v>
      </c>
      <c r="S1200"/>
    </row>
    <row r="1201" spans="1:19" ht="15" customHeight="1">
      <c r="A1201" s="9"/>
      <c r="B1201" s="9"/>
      <c r="C1201" s="1">
        <f>Tabela2[[#This Row],[Data
Pedido]]-Tabela2[[#This Row],[Data Última Aprovação RC]]</f>
        <v>0</v>
      </c>
      <c r="J1201" s="1" t="str">
        <f t="shared" ca="1" si="28"/>
        <v/>
      </c>
      <c r="K1201" s="11">
        <f>Tabela2[[#This Row],[SLA
Padrão]]-Tabela2[[#This Row],[SLA Atendimento]]</f>
        <v>0</v>
      </c>
      <c r="L1201" s="11"/>
      <c r="O1201" s="1" t="s">
        <v>30</v>
      </c>
      <c r="P1201" s="2">
        <f>Tabela2[[#This Row],[Proposta
 Inicial]]-Tabela2[[#This Row],[Proposta
 Negociada]]</f>
        <v>0</v>
      </c>
      <c r="Q1201" s="4" t="e">
        <f>Tabela2[[#This Row],[Proposta
 Negociada]]/Tabela2[[#This Row],[Proposta
 Inicial]]-1</f>
        <v>#DIV/0!</v>
      </c>
      <c r="S1201"/>
    </row>
    <row r="1202" spans="1:19" ht="15" customHeight="1">
      <c r="A1202" s="9"/>
      <c r="B1202" s="9"/>
      <c r="C1202" s="1">
        <f>Tabela2[[#This Row],[Data
Pedido]]-Tabela2[[#This Row],[Data Última Aprovação RC]]</f>
        <v>0</v>
      </c>
      <c r="J1202" s="1" t="str">
        <f t="shared" ca="1" si="28"/>
        <v/>
      </c>
      <c r="K1202" s="11">
        <f>Tabela2[[#This Row],[SLA
Padrão]]-Tabela2[[#This Row],[SLA Atendimento]]</f>
        <v>0</v>
      </c>
      <c r="L1202" s="11"/>
      <c r="O1202" s="1" t="s">
        <v>30</v>
      </c>
      <c r="P1202" s="2">
        <f>Tabela2[[#This Row],[Proposta
 Inicial]]-Tabela2[[#This Row],[Proposta
 Negociada]]</f>
        <v>0</v>
      </c>
      <c r="Q1202" s="4" t="e">
        <f>Tabela2[[#This Row],[Proposta
 Negociada]]/Tabela2[[#This Row],[Proposta
 Inicial]]-1</f>
        <v>#DIV/0!</v>
      </c>
      <c r="S1202"/>
    </row>
    <row r="1203" spans="1:19" ht="15" customHeight="1">
      <c r="A1203" s="9"/>
      <c r="B1203" s="9"/>
      <c r="C1203" s="1">
        <f>Tabela2[[#This Row],[Data
Pedido]]-Tabela2[[#This Row],[Data Última Aprovação RC]]</f>
        <v>0</v>
      </c>
      <c r="J1203" s="1" t="str">
        <f t="shared" ca="1" si="28"/>
        <v/>
      </c>
      <c r="K1203" s="11">
        <f>Tabela2[[#This Row],[SLA
Padrão]]-Tabela2[[#This Row],[SLA Atendimento]]</f>
        <v>0</v>
      </c>
      <c r="L1203" s="11"/>
      <c r="O1203" s="1" t="s">
        <v>30</v>
      </c>
      <c r="P1203" s="2">
        <f>Tabela2[[#This Row],[Proposta
 Inicial]]-Tabela2[[#This Row],[Proposta
 Negociada]]</f>
        <v>0</v>
      </c>
      <c r="Q1203" s="4" t="e">
        <f>Tabela2[[#This Row],[Proposta
 Negociada]]/Tabela2[[#This Row],[Proposta
 Inicial]]-1</f>
        <v>#DIV/0!</v>
      </c>
      <c r="S1203"/>
    </row>
    <row r="1204" spans="1:19" ht="15" customHeight="1">
      <c r="A1204" s="9"/>
      <c r="B1204" s="9"/>
      <c r="C1204" s="1">
        <f>Tabela2[[#This Row],[Data
Pedido]]-Tabela2[[#This Row],[Data Última Aprovação RC]]</f>
        <v>0</v>
      </c>
      <c r="J1204" s="1" t="str">
        <f t="shared" ca="1" si="28"/>
        <v/>
      </c>
      <c r="K1204" s="11">
        <f>Tabela2[[#This Row],[SLA
Padrão]]-Tabela2[[#This Row],[SLA Atendimento]]</f>
        <v>0</v>
      </c>
      <c r="L1204" s="11"/>
      <c r="O1204" s="1" t="s">
        <v>30</v>
      </c>
      <c r="P1204" s="2">
        <f>Tabela2[[#This Row],[Proposta
 Inicial]]-Tabela2[[#This Row],[Proposta
 Negociada]]</f>
        <v>0</v>
      </c>
      <c r="Q1204" s="4" t="e">
        <f>Tabela2[[#This Row],[Proposta
 Negociada]]/Tabela2[[#This Row],[Proposta
 Inicial]]-1</f>
        <v>#DIV/0!</v>
      </c>
      <c r="S1204"/>
    </row>
    <row r="1205" spans="1:19" ht="15" customHeight="1">
      <c r="A1205" s="9"/>
      <c r="B1205" s="9"/>
      <c r="C1205" s="1">
        <f>Tabela2[[#This Row],[Data
Pedido]]-Tabela2[[#This Row],[Data Última Aprovação RC]]</f>
        <v>0</v>
      </c>
      <c r="J1205" s="1" t="str">
        <f t="shared" ca="1" si="28"/>
        <v/>
      </c>
      <c r="K1205" s="11">
        <f>Tabela2[[#This Row],[SLA
Padrão]]-Tabela2[[#This Row],[SLA Atendimento]]</f>
        <v>0</v>
      </c>
      <c r="L1205" s="11"/>
      <c r="O1205" s="1" t="s">
        <v>30</v>
      </c>
      <c r="P1205" s="2">
        <f>Tabela2[[#This Row],[Proposta
 Inicial]]-Tabela2[[#This Row],[Proposta
 Negociada]]</f>
        <v>0</v>
      </c>
      <c r="Q1205" s="4" t="e">
        <f>Tabela2[[#This Row],[Proposta
 Negociada]]/Tabela2[[#This Row],[Proposta
 Inicial]]-1</f>
        <v>#DIV/0!</v>
      </c>
      <c r="S1205"/>
    </row>
    <row r="1206" spans="1:19" ht="15" customHeight="1">
      <c r="A1206" s="9"/>
      <c r="B1206" s="9"/>
      <c r="C1206" s="1">
        <f>Tabela2[[#This Row],[Data
Pedido]]-Tabela2[[#This Row],[Data Última Aprovação RC]]</f>
        <v>0</v>
      </c>
      <c r="J1206" s="1" t="str">
        <f t="shared" ca="1" si="28"/>
        <v/>
      </c>
      <c r="K1206" s="11">
        <f>Tabela2[[#This Row],[SLA
Padrão]]-Tabela2[[#This Row],[SLA Atendimento]]</f>
        <v>0</v>
      </c>
      <c r="L1206" s="11"/>
      <c r="O1206" s="1" t="s">
        <v>30</v>
      </c>
      <c r="P1206" s="2">
        <f>Tabela2[[#This Row],[Proposta
 Inicial]]-Tabela2[[#This Row],[Proposta
 Negociada]]</f>
        <v>0</v>
      </c>
      <c r="Q1206" s="4" t="e">
        <f>Tabela2[[#This Row],[Proposta
 Negociada]]/Tabela2[[#This Row],[Proposta
 Inicial]]-1</f>
        <v>#DIV/0!</v>
      </c>
      <c r="S1206"/>
    </row>
    <row r="1207" spans="1:19" ht="15" customHeight="1">
      <c r="A1207" s="9"/>
      <c r="B1207" s="9"/>
      <c r="C1207" s="1">
        <f>Tabela2[[#This Row],[Data
Pedido]]-Tabela2[[#This Row],[Data Última Aprovação RC]]</f>
        <v>0</v>
      </c>
      <c r="J1207" s="1" t="str">
        <f t="shared" ca="1" si="28"/>
        <v/>
      </c>
      <c r="K1207" s="11">
        <f>Tabela2[[#This Row],[SLA
Padrão]]-Tabela2[[#This Row],[SLA Atendimento]]</f>
        <v>0</v>
      </c>
      <c r="L1207" s="11"/>
      <c r="O1207" s="1" t="s">
        <v>30</v>
      </c>
      <c r="P1207" s="2">
        <f>Tabela2[[#This Row],[Proposta
 Inicial]]-Tabela2[[#This Row],[Proposta
 Negociada]]</f>
        <v>0</v>
      </c>
      <c r="Q1207" s="4" t="e">
        <f>Tabela2[[#This Row],[Proposta
 Negociada]]/Tabela2[[#This Row],[Proposta
 Inicial]]-1</f>
        <v>#DIV/0!</v>
      </c>
      <c r="S1207"/>
    </row>
    <row r="1208" spans="1:19" ht="15" customHeight="1">
      <c r="A1208" s="9"/>
      <c r="B1208" s="9"/>
      <c r="C1208" s="1">
        <f>Tabela2[[#This Row],[Data
Pedido]]-Tabela2[[#This Row],[Data Última Aprovação RC]]</f>
        <v>0</v>
      </c>
      <c r="J1208" s="1" t="str">
        <f t="shared" ca="1" si="28"/>
        <v/>
      </c>
      <c r="K1208" s="11">
        <f>Tabela2[[#This Row],[SLA
Padrão]]-Tabela2[[#This Row],[SLA Atendimento]]</f>
        <v>0</v>
      </c>
      <c r="L1208" s="11"/>
      <c r="O1208" s="1" t="s">
        <v>30</v>
      </c>
      <c r="P1208" s="2">
        <f>Tabela2[[#This Row],[Proposta
 Inicial]]-Tabela2[[#This Row],[Proposta
 Negociada]]</f>
        <v>0</v>
      </c>
      <c r="Q1208" s="4" t="e">
        <f>Tabela2[[#This Row],[Proposta
 Negociada]]/Tabela2[[#This Row],[Proposta
 Inicial]]-1</f>
        <v>#DIV/0!</v>
      </c>
      <c r="S1208"/>
    </row>
    <row r="1209" spans="1:19" ht="15" customHeight="1">
      <c r="A1209" s="9"/>
      <c r="B1209" s="9"/>
      <c r="C1209" s="1">
        <f>Tabela2[[#This Row],[Data
Pedido]]-Tabela2[[#This Row],[Data Última Aprovação RC]]</f>
        <v>0</v>
      </c>
      <c r="J1209" s="1" t="str">
        <f t="shared" ca="1" si="28"/>
        <v/>
      </c>
      <c r="K1209" s="11">
        <f>Tabela2[[#This Row],[SLA
Padrão]]-Tabela2[[#This Row],[SLA Atendimento]]</f>
        <v>0</v>
      </c>
      <c r="L1209" s="11"/>
      <c r="O1209" s="1" t="s">
        <v>30</v>
      </c>
      <c r="P1209" s="2">
        <f>Tabela2[[#This Row],[Proposta
 Inicial]]-Tabela2[[#This Row],[Proposta
 Negociada]]</f>
        <v>0</v>
      </c>
      <c r="Q1209" s="4" t="e">
        <f>Tabela2[[#This Row],[Proposta
 Negociada]]/Tabela2[[#This Row],[Proposta
 Inicial]]-1</f>
        <v>#DIV/0!</v>
      </c>
      <c r="S1209"/>
    </row>
    <row r="1210" spans="1:19" ht="15" customHeight="1">
      <c r="A1210" s="9"/>
      <c r="B1210" s="9"/>
      <c r="C1210" s="1">
        <f>Tabela2[[#This Row],[Data
Pedido]]-Tabela2[[#This Row],[Data Última Aprovação RC]]</f>
        <v>0</v>
      </c>
      <c r="J1210" s="1" t="str">
        <f t="shared" ca="1" si="28"/>
        <v/>
      </c>
      <c r="K1210" s="11">
        <f>Tabela2[[#This Row],[SLA
Padrão]]-Tabela2[[#This Row],[SLA Atendimento]]</f>
        <v>0</v>
      </c>
      <c r="L1210" s="11"/>
      <c r="O1210" s="1" t="s">
        <v>30</v>
      </c>
      <c r="P1210" s="2">
        <f>Tabela2[[#This Row],[Proposta
 Inicial]]-Tabela2[[#This Row],[Proposta
 Negociada]]</f>
        <v>0</v>
      </c>
      <c r="Q1210" s="4" t="e">
        <f>Tabela2[[#This Row],[Proposta
 Negociada]]/Tabela2[[#This Row],[Proposta
 Inicial]]-1</f>
        <v>#DIV/0!</v>
      </c>
      <c r="S1210"/>
    </row>
    <row r="1211" spans="1:19" ht="15" customHeight="1">
      <c r="A1211" s="9"/>
      <c r="B1211" s="9"/>
      <c r="C1211" s="1">
        <f>Tabela2[[#This Row],[Data
Pedido]]-Tabela2[[#This Row],[Data Última Aprovação RC]]</f>
        <v>0</v>
      </c>
      <c r="J1211" s="1" t="str">
        <f t="shared" ca="1" si="28"/>
        <v/>
      </c>
      <c r="K1211" s="11">
        <f>Tabela2[[#This Row],[SLA
Padrão]]-Tabela2[[#This Row],[SLA Atendimento]]</f>
        <v>0</v>
      </c>
      <c r="L1211" s="11"/>
      <c r="O1211" s="1" t="s">
        <v>30</v>
      </c>
      <c r="P1211" s="2">
        <f>Tabela2[[#This Row],[Proposta
 Inicial]]-Tabela2[[#This Row],[Proposta
 Negociada]]</f>
        <v>0</v>
      </c>
      <c r="Q1211" s="4" t="e">
        <f>Tabela2[[#This Row],[Proposta
 Negociada]]/Tabela2[[#This Row],[Proposta
 Inicial]]-1</f>
        <v>#DIV/0!</v>
      </c>
      <c r="S1211"/>
    </row>
    <row r="1212" spans="1:19" ht="15" customHeight="1">
      <c r="A1212" s="9"/>
      <c r="B1212" s="9"/>
      <c r="C1212" s="1">
        <f>Tabela2[[#This Row],[Data
Pedido]]-Tabela2[[#This Row],[Data Última Aprovação RC]]</f>
        <v>0</v>
      </c>
      <c r="J1212" s="1" t="str">
        <f t="shared" ca="1" si="28"/>
        <v/>
      </c>
      <c r="K1212" s="11">
        <f>Tabela2[[#This Row],[SLA
Padrão]]-Tabela2[[#This Row],[SLA Atendimento]]</f>
        <v>0</v>
      </c>
      <c r="L1212" s="11"/>
      <c r="O1212" s="1" t="s">
        <v>30</v>
      </c>
      <c r="P1212" s="2">
        <f>Tabela2[[#This Row],[Proposta
 Inicial]]-Tabela2[[#This Row],[Proposta
 Negociada]]</f>
        <v>0</v>
      </c>
      <c r="Q1212" s="4" t="e">
        <f>Tabela2[[#This Row],[Proposta
 Negociada]]/Tabela2[[#This Row],[Proposta
 Inicial]]-1</f>
        <v>#DIV/0!</v>
      </c>
      <c r="S1212"/>
    </row>
    <row r="1213" spans="1:19" ht="15" customHeight="1">
      <c r="A1213" s="9"/>
      <c r="B1213" s="9"/>
      <c r="C1213" s="1">
        <f>Tabela2[[#This Row],[Data
Pedido]]-Tabela2[[#This Row],[Data Última Aprovação RC]]</f>
        <v>0</v>
      </c>
      <c r="J1213" s="1" t="str">
        <f t="shared" ca="1" si="28"/>
        <v/>
      </c>
      <c r="K1213" s="11">
        <f>Tabela2[[#This Row],[SLA
Padrão]]-Tabela2[[#This Row],[SLA Atendimento]]</f>
        <v>0</v>
      </c>
      <c r="L1213" s="11"/>
      <c r="O1213" s="1" t="s">
        <v>30</v>
      </c>
      <c r="P1213" s="2">
        <f>Tabela2[[#This Row],[Proposta
 Inicial]]-Tabela2[[#This Row],[Proposta
 Negociada]]</f>
        <v>0</v>
      </c>
      <c r="Q1213" s="4" t="e">
        <f>Tabela2[[#This Row],[Proposta
 Negociada]]/Tabela2[[#This Row],[Proposta
 Inicial]]-1</f>
        <v>#DIV/0!</v>
      </c>
      <c r="S1213"/>
    </row>
    <row r="1214" spans="1:19" ht="15" customHeight="1">
      <c r="A1214" s="9"/>
      <c r="B1214" s="9"/>
      <c r="C1214" s="1">
        <f>Tabela2[[#This Row],[Data
Pedido]]-Tabela2[[#This Row],[Data Última Aprovação RC]]</f>
        <v>0</v>
      </c>
      <c r="J1214" s="1" t="str">
        <f t="shared" ca="1" si="28"/>
        <v/>
      </c>
      <c r="K1214" s="11">
        <f>Tabela2[[#This Row],[SLA
Padrão]]-Tabela2[[#This Row],[SLA Atendimento]]</f>
        <v>0</v>
      </c>
      <c r="L1214" s="11"/>
      <c r="O1214" s="1" t="s">
        <v>30</v>
      </c>
      <c r="P1214" s="2">
        <f>Tabela2[[#This Row],[Proposta
 Inicial]]-Tabela2[[#This Row],[Proposta
 Negociada]]</f>
        <v>0</v>
      </c>
      <c r="Q1214" s="4" t="e">
        <f>Tabela2[[#This Row],[Proposta
 Negociada]]/Tabela2[[#This Row],[Proposta
 Inicial]]-1</f>
        <v>#DIV/0!</v>
      </c>
      <c r="S1214"/>
    </row>
    <row r="1215" spans="1:19" ht="15" customHeight="1">
      <c r="A1215" s="9"/>
      <c r="B1215" s="9"/>
      <c r="C1215" s="1">
        <f>Tabela2[[#This Row],[Data
Pedido]]-Tabela2[[#This Row],[Data Última Aprovação RC]]</f>
        <v>0</v>
      </c>
      <c r="J1215" s="1" t="str">
        <f t="shared" ca="1" si="28"/>
        <v/>
      </c>
      <c r="K1215" s="11">
        <f>Tabela2[[#This Row],[SLA
Padrão]]-Tabela2[[#This Row],[SLA Atendimento]]</f>
        <v>0</v>
      </c>
      <c r="L1215" s="11"/>
      <c r="O1215" s="1" t="s">
        <v>30</v>
      </c>
      <c r="P1215" s="2">
        <f>Tabela2[[#This Row],[Proposta
 Inicial]]-Tabela2[[#This Row],[Proposta
 Negociada]]</f>
        <v>0</v>
      </c>
      <c r="Q1215" s="4" t="e">
        <f>Tabela2[[#This Row],[Proposta
 Negociada]]/Tabela2[[#This Row],[Proposta
 Inicial]]-1</f>
        <v>#DIV/0!</v>
      </c>
      <c r="S1215"/>
    </row>
    <row r="1216" spans="1:19" ht="15" customHeight="1">
      <c r="A1216" s="9"/>
      <c r="B1216" s="9"/>
      <c r="C1216" s="1">
        <f>Tabela2[[#This Row],[Data
Pedido]]-Tabela2[[#This Row],[Data Última Aprovação RC]]</f>
        <v>0</v>
      </c>
      <c r="J1216" s="1" t="str">
        <f t="shared" ca="1" si="28"/>
        <v/>
      </c>
      <c r="K1216" s="11">
        <f>Tabela2[[#This Row],[SLA
Padrão]]-Tabela2[[#This Row],[SLA Atendimento]]</f>
        <v>0</v>
      </c>
      <c r="L1216" s="11"/>
      <c r="O1216" s="1" t="s">
        <v>30</v>
      </c>
      <c r="P1216" s="2">
        <f>Tabela2[[#This Row],[Proposta
 Inicial]]-Tabela2[[#This Row],[Proposta
 Negociada]]</f>
        <v>0</v>
      </c>
      <c r="Q1216" s="4" t="e">
        <f>Tabela2[[#This Row],[Proposta
 Negociada]]/Tabela2[[#This Row],[Proposta
 Inicial]]-1</f>
        <v>#DIV/0!</v>
      </c>
      <c r="S1216"/>
    </row>
    <row r="1217" spans="1:19" ht="15" customHeight="1">
      <c r="A1217" s="9"/>
      <c r="B1217" s="9"/>
      <c r="C1217" s="1">
        <f>Tabela2[[#This Row],[Data
Pedido]]-Tabela2[[#This Row],[Data Última Aprovação RC]]</f>
        <v>0</v>
      </c>
      <c r="J1217" s="1" t="str">
        <f t="shared" ca="1" si="28"/>
        <v/>
      </c>
      <c r="K1217" s="11">
        <f>Tabela2[[#This Row],[SLA
Padrão]]-Tabela2[[#This Row],[SLA Atendimento]]</f>
        <v>0</v>
      </c>
      <c r="L1217" s="11"/>
      <c r="O1217" s="1" t="s">
        <v>30</v>
      </c>
      <c r="P1217" s="2">
        <f>Tabela2[[#This Row],[Proposta
 Inicial]]-Tabela2[[#This Row],[Proposta
 Negociada]]</f>
        <v>0</v>
      </c>
      <c r="Q1217" s="4" t="e">
        <f>Tabela2[[#This Row],[Proposta
 Negociada]]/Tabela2[[#This Row],[Proposta
 Inicial]]-1</f>
        <v>#DIV/0!</v>
      </c>
      <c r="S1217"/>
    </row>
    <row r="1218" spans="1:19" ht="15" customHeight="1">
      <c r="A1218" s="9"/>
      <c r="B1218" s="9"/>
      <c r="C1218" s="1">
        <f>Tabela2[[#This Row],[Data
Pedido]]-Tabela2[[#This Row],[Data Última Aprovação RC]]</f>
        <v>0</v>
      </c>
      <c r="J1218" s="1" t="str">
        <f t="shared" ca="1" si="28"/>
        <v/>
      </c>
      <c r="K1218" s="11">
        <f>Tabela2[[#This Row],[SLA
Padrão]]-Tabela2[[#This Row],[SLA Atendimento]]</f>
        <v>0</v>
      </c>
      <c r="L1218" s="11"/>
      <c r="O1218" s="1" t="s">
        <v>30</v>
      </c>
      <c r="P1218" s="2">
        <f>Tabela2[[#This Row],[Proposta
 Inicial]]-Tabela2[[#This Row],[Proposta
 Negociada]]</f>
        <v>0</v>
      </c>
      <c r="Q1218" s="4" t="e">
        <f>Tabela2[[#This Row],[Proposta
 Negociada]]/Tabela2[[#This Row],[Proposta
 Inicial]]-1</f>
        <v>#DIV/0!</v>
      </c>
      <c r="S1218"/>
    </row>
    <row r="1219" spans="1:19" ht="15" customHeight="1">
      <c r="A1219" s="9"/>
      <c r="B1219" s="9"/>
      <c r="C1219" s="1">
        <f>Tabela2[[#This Row],[Data
Pedido]]-Tabela2[[#This Row],[Data Última Aprovação RC]]</f>
        <v>0</v>
      </c>
      <c r="J1219" s="1" t="str">
        <f t="shared" ca="1" si="28"/>
        <v/>
      </c>
      <c r="K1219" s="11">
        <f>Tabela2[[#This Row],[SLA
Padrão]]-Tabela2[[#This Row],[SLA Atendimento]]</f>
        <v>0</v>
      </c>
      <c r="L1219" s="11"/>
      <c r="O1219" s="1" t="s">
        <v>30</v>
      </c>
      <c r="P1219" s="2">
        <f>Tabela2[[#This Row],[Proposta
 Inicial]]-Tabela2[[#This Row],[Proposta
 Negociada]]</f>
        <v>0</v>
      </c>
      <c r="Q1219" s="4" t="e">
        <f>Tabela2[[#This Row],[Proposta
 Negociada]]/Tabela2[[#This Row],[Proposta
 Inicial]]-1</f>
        <v>#DIV/0!</v>
      </c>
      <c r="S1219"/>
    </row>
    <row r="1220" spans="1:19" ht="15" customHeight="1">
      <c r="A1220" s="9"/>
      <c r="B1220" s="9"/>
      <c r="C1220" s="1">
        <f>Tabela2[[#This Row],[Data
Pedido]]-Tabela2[[#This Row],[Data Última Aprovação RC]]</f>
        <v>0</v>
      </c>
      <c r="J1220" s="1" t="str">
        <f t="shared" ca="1" si="28"/>
        <v/>
      </c>
      <c r="K1220" s="11">
        <f>Tabela2[[#This Row],[SLA
Padrão]]-Tabela2[[#This Row],[SLA Atendimento]]</f>
        <v>0</v>
      </c>
      <c r="L1220" s="11"/>
      <c r="O1220" s="1" t="s">
        <v>30</v>
      </c>
      <c r="P1220" s="2">
        <f>Tabela2[[#This Row],[Proposta
 Inicial]]-Tabela2[[#This Row],[Proposta
 Negociada]]</f>
        <v>0</v>
      </c>
      <c r="Q1220" s="4" t="e">
        <f>Tabela2[[#This Row],[Proposta
 Negociada]]/Tabela2[[#This Row],[Proposta
 Inicial]]-1</f>
        <v>#DIV/0!</v>
      </c>
      <c r="S1220"/>
    </row>
    <row r="1221" spans="1:19" ht="15" customHeight="1">
      <c r="A1221" s="9"/>
      <c r="B1221" s="9"/>
      <c r="C1221" s="1">
        <f>Tabela2[[#This Row],[Data
Pedido]]-Tabela2[[#This Row],[Data Última Aprovação RC]]</f>
        <v>0</v>
      </c>
      <c r="J1221" s="1" t="str">
        <f t="shared" ca="1" si="28"/>
        <v/>
      </c>
      <c r="K1221" s="11">
        <f>Tabela2[[#This Row],[SLA
Padrão]]-Tabela2[[#This Row],[SLA Atendimento]]</f>
        <v>0</v>
      </c>
      <c r="L1221" s="11"/>
      <c r="O1221" s="1" t="s">
        <v>30</v>
      </c>
      <c r="P1221" s="2">
        <f>Tabela2[[#This Row],[Proposta
 Inicial]]-Tabela2[[#This Row],[Proposta
 Negociada]]</f>
        <v>0</v>
      </c>
      <c r="Q1221" s="4" t="e">
        <f>Tabela2[[#This Row],[Proposta
 Negociada]]/Tabela2[[#This Row],[Proposta
 Inicial]]-1</f>
        <v>#DIV/0!</v>
      </c>
      <c r="S1221"/>
    </row>
    <row r="1222" spans="1:19" ht="15" customHeight="1">
      <c r="A1222" s="9"/>
      <c r="B1222" s="9"/>
      <c r="C1222" s="1">
        <f>Tabela2[[#This Row],[Data
Pedido]]-Tabela2[[#This Row],[Data Última Aprovação RC]]</f>
        <v>0</v>
      </c>
      <c r="J1222" s="1" t="str">
        <f t="shared" ca="1" si="28"/>
        <v/>
      </c>
      <c r="K1222" s="11">
        <f>Tabela2[[#This Row],[SLA
Padrão]]-Tabela2[[#This Row],[SLA Atendimento]]</f>
        <v>0</v>
      </c>
      <c r="L1222" s="11"/>
      <c r="O1222" s="1" t="s">
        <v>30</v>
      </c>
      <c r="P1222" s="2">
        <f>Tabela2[[#This Row],[Proposta
 Inicial]]-Tabela2[[#This Row],[Proposta
 Negociada]]</f>
        <v>0</v>
      </c>
      <c r="Q1222" s="4" t="e">
        <f>Tabela2[[#This Row],[Proposta
 Negociada]]/Tabela2[[#This Row],[Proposta
 Inicial]]-1</f>
        <v>#DIV/0!</v>
      </c>
      <c r="S1222"/>
    </row>
    <row r="1223" spans="1:19" ht="15" customHeight="1">
      <c r="A1223" s="9"/>
      <c r="B1223" s="9"/>
      <c r="C1223" s="1">
        <f>Tabela2[[#This Row],[Data
Pedido]]-Tabela2[[#This Row],[Data Última Aprovação RC]]</f>
        <v>0</v>
      </c>
      <c r="J1223" s="1" t="str">
        <f t="shared" ca="1" si="28"/>
        <v/>
      </c>
      <c r="K1223" s="11">
        <f>Tabela2[[#This Row],[SLA
Padrão]]-Tabela2[[#This Row],[SLA Atendimento]]</f>
        <v>0</v>
      </c>
      <c r="L1223" s="11"/>
      <c r="O1223" s="1" t="s">
        <v>30</v>
      </c>
      <c r="P1223" s="2">
        <f>Tabela2[[#This Row],[Proposta
 Inicial]]-Tabela2[[#This Row],[Proposta
 Negociada]]</f>
        <v>0</v>
      </c>
      <c r="Q1223" s="4" t="e">
        <f>Tabela2[[#This Row],[Proposta
 Negociada]]/Tabela2[[#This Row],[Proposta
 Inicial]]-1</f>
        <v>#DIV/0!</v>
      </c>
      <c r="S1223"/>
    </row>
    <row r="1224" spans="1:19" ht="15" customHeight="1">
      <c r="A1224" s="9"/>
      <c r="B1224" s="9"/>
      <c r="C1224" s="1">
        <f>Tabela2[[#This Row],[Data
Pedido]]-Tabela2[[#This Row],[Data Última Aprovação RC]]</f>
        <v>0</v>
      </c>
      <c r="J1224" s="1" t="str">
        <f t="shared" ca="1" si="28"/>
        <v/>
      </c>
      <c r="K1224" s="11">
        <f>Tabela2[[#This Row],[SLA
Padrão]]-Tabela2[[#This Row],[SLA Atendimento]]</f>
        <v>0</v>
      </c>
      <c r="L1224" s="11"/>
      <c r="O1224" s="1" t="s">
        <v>30</v>
      </c>
      <c r="P1224" s="2">
        <f>Tabela2[[#This Row],[Proposta
 Inicial]]-Tabela2[[#This Row],[Proposta
 Negociada]]</f>
        <v>0</v>
      </c>
      <c r="Q1224" s="4" t="e">
        <f>Tabela2[[#This Row],[Proposta
 Negociada]]/Tabela2[[#This Row],[Proposta
 Inicial]]-1</f>
        <v>#DIV/0!</v>
      </c>
      <c r="S1224"/>
    </row>
    <row r="1225" spans="1:19" ht="15" customHeight="1">
      <c r="A1225" s="9"/>
      <c r="B1225" s="9"/>
      <c r="C1225" s="1">
        <f>Tabela2[[#This Row],[Data
Pedido]]-Tabela2[[#This Row],[Data Última Aprovação RC]]</f>
        <v>0</v>
      </c>
      <c r="J1225" s="1" t="str">
        <f t="shared" ca="1" si="28"/>
        <v/>
      </c>
      <c r="K1225" s="11">
        <f>Tabela2[[#This Row],[SLA
Padrão]]-Tabela2[[#This Row],[SLA Atendimento]]</f>
        <v>0</v>
      </c>
      <c r="L1225" s="11"/>
      <c r="O1225" s="1" t="s">
        <v>30</v>
      </c>
      <c r="P1225" s="2">
        <f>Tabela2[[#This Row],[Proposta
 Inicial]]-Tabela2[[#This Row],[Proposta
 Negociada]]</f>
        <v>0</v>
      </c>
      <c r="Q1225" s="4" t="e">
        <f>Tabela2[[#This Row],[Proposta
 Negociada]]/Tabela2[[#This Row],[Proposta
 Inicial]]-1</f>
        <v>#DIV/0!</v>
      </c>
      <c r="S1225"/>
    </row>
    <row r="1226" spans="1:19" ht="15" customHeight="1">
      <c r="A1226" s="9"/>
      <c r="B1226" s="9"/>
      <c r="C1226" s="1">
        <f>Tabela2[[#This Row],[Data
Pedido]]-Tabela2[[#This Row],[Data Última Aprovação RC]]</f>
        <v>0</v>
      </c>
      <c r="J1226" s="1" t="str">
        <f t="shared" ca="1" si="28"/>
        <v/>
      </c>
      <c r="K1226" s="11">
        <f>Tabela2[[#This Row],[SLA
Padrão]]-Tabela2[[#This Row],[SLA Atendimento]]</f>
        <v>0</v>
      </c>
      <c r="L1226" s="11"/>
      <c r="O1226" s="1" t="s">
        <v>30</v>
      </c>
      <c r="P1226" s="2">
        <f>Tabela2[[#This Row],[Proposta
 Inicial]]-Tabela2[[#This Row],[Proposta
 Negociada]]</f>
        <v>0</v>
      </c>
      <c r="Q1226" s="4" t="e">
        <f>Tabela2[[#This Row],[Proposta
 Negociada]]/Tabela2[[#This Row],[Proposta
 Inicial]]-1</f>
        <v>#DIV/0!</v>
      </c>
      <c r="S1226"/>
    </row>
    <row r="1227" spans="1:19" ht="15" customHeight="1">
      <c r="A1227" s="9"/>
      <c r="B1227" s="9"/>
      <c r="C1227" s="1">
        <f>Tabela2[[#This Row],[Data
Pedido]]-Tabela2[[#This Row],[Data Última Aprovação RC]]</f>
        <v>0</v>
      </c>
      <c r="J1227" s="1" t="str">
        <f t="shared" ca="1" si="28"/>
        <v/>
      </c>
      <c r="K1227" s="11">
        <f>Tabela2[[#This Row],[SLA
Padrão]]-Tabela2[[#This Row],[SLA Atendimento]]</f>
        <v>0</v>
      </c>
      <c r="L1227" s="11"/>
      <c r="O1227" s="1" t="s">
        <v>30</v>
      </c>
      <c r="P1227" s="2">
        <f>Tabela2[[#This Row],[Proposta
 Inicial]]-Tabela2[[#This Row],[Proposta
 Negociada]]</f>
        <v>0</v>
      </c>
      <c r="Q1227" s="4" t="e">
        <f>Tabela2[[#This Row],[Proposta
 Negociada]]/Tabela2[[#This Row],[Proposta
 Inicial]]-1</f>
        <v>#DIV/0!</v>
      </c>
      <c r="S1227"/>
    </row>
    <row r="1228" spans="1:19" ht="15" customHeight="1">
      <c r="A1228" s="9"/>
      <c r="B1228" s="9"/>
      <c r="C1228" s="1">
        <f>Tabela2[[#This Row],[Data
Pedido]]-Tabela2[[#This Row],[Data Última Aprovação RC]]</f>
        <v>0</v>
      </c>
      <c r="J1228" s="1" t="str">
        <f t="shared" ca="1" si="28"/>
        <v/>
      </c>
      <c r="K1228" s="11">
        <f>Tabela2[[#This Row],[SLA
Padrão]]-Tabela2[[#This Row],[SLA Atendimento]]</f>
        <v>0</v>
      </c>
      <c r="L1228" s="11"/>
      <c r="O1228" s="1" t="s">
        <v>30</v>
      </c>
      <c r="P1228" s="2">
        <f>Tabela2[[#This Row],[Proposta
 Inicial]]-Tabela2[[#This Row],[Proposta
 Negociada]]</f>
        <v>0</v>
      </c>
      <c r="Q1228" s="4" t="e">
        <f>Tabela2[[#This Row],[Proposta
 Negociada]]/Tabela2[[#This Row],[Proposta
 Inicial]]-1</f>
        <v>#DIV/0!</v>
      </c>
      <c r="S1228"/>
    </row>
    <row r="1229" spans="1:19" ht="15" customHeight="1">
      <c r="A1229" s="9"/>
      <c r="B1229" s="9"/>
      <c r="C1229" s="1">
        <f>Tabela2[[#This Row],[Data
Pedido]]-Tabela2[[#This Row],[Data Última Aprovação RC]]</f>
        <v>0</v>
      </c>
      <c r="J1229" s="1" t="str">
        <f t="shared" ca="1" si="28"/>
        <v/>
      </c>
      <c r="K1229" s="11">
        <f>Tabela2[[#This Row],[SLA
Padrão]]-Tabela2[[#This Row],[SLA Atendimento]]</f>
        <v>0</v>
      </c>
      <c r="L1229" s="11"/>
      <c r="O1229" s="1" t="s">
        <v>30</v>
      </c>
      <c r="P1229" s="2">
        <f>Tabela2[[#This Row],[Proposta
 Inicial]]-Tabela2[[#This Row],[Proposta
 Negociada]]</f>
        <v>0</v>
      </c>
      <c r="Q1229" s="4" t="e">
        <f>Tabela2[[#This Row],[Proposta
 Negociada]]/Tabela2[[#This Row],[Proposta
 Inicial]]-1</f>
        <v>#DIV/0!</v>
      </c>
      <c r="S1229"/>
    </row>
    <row r="1230" spans="1:19" ht="15" customHeight="1">
      <c r="A1230" s="9"/>
      <c r="B1230" s="9"/>
      <c r="C1230" s="1">
        <f>Tabela2[[#This Row],[Data
Pedido]]-Tabela2[[#This Row],[Data Última Aprovação RC]]</f>
        <v>0</v>
      </c>
      <c r="J1230" s="1" t="str">
        <f t="shared" ca="1" si="28"/>
        <v/>
      </c>
      <c r="K1230" s="11">
        <f>Tabela2[[#This Row],[SLA
Padrão]]-Tabela2[[#This Row],[SLA Atendimento]]</f>
        <v>0</v>
      </c>
      <c r="L1230" s="11"/>
      <c r="O1230" s="1" t="s">
        <v>30</v>
      </c>
      <c r="P1230" s="2">
        <f>Tabela2[[#This Row],[Proposta
 Inicial]]-Tabela2[[#This Row],[Proposta
 Negociada]]</f>
        <v>0</v>
      </c>
      <c r="Q1230" s="4" t="e">
        <f>Tabela2[[#This Row],[Proposta
 Negociada]]/Tabela2[[#This Row],[Proposta
 Inicial]]-1</f>
        <v>#DIV/0!</v>
      </c>
      <c r="S1230"/>
    </row>
    <row r="1231" spans="1:19" ht="15" customHeight="1">
      <c r="A1231" s="9"/>
      <c r="B1231" s="9"/>
      <c r="C1231" s="1">
        <f>Tabela2[[#This Row],[Data
Pedido]]-Tabela2[[#This Row],[Data Última Aprovação RC]]</f>
        <v>0</v>
      </c>
      <c r="J1231" s="1" t="str">
        <f t="shared" ca="1" si="28"/>
        <v/>
      </c>
      <c r="K1231" s="11">
        <f>Tabela2[[#This Row],[SLA
Padrão]]-Tabela2[[#This Row],[SLA Atendimento]]</f>
        <v>0</v>
      </c>
      <c r="L1231" s="11"/>
      <c r="O1231" s="1" t="s">
        <v>30</v>
      </c>
      <c r="P1231" s="2">
        <f>Tabela2[[#This Row],[Proposta
 Inicial]]-Tabela2[[#This Row],[Proposta
 Negociada]]</f>
        <v>0</v>
      </c>
      <c r="Q1231" s="4" t="e">
        <f>Tabela2[[#This Row],[Proposta
 Negociada]]/Tabela2[[#This Row],[Proposta
 Inicial]]-1</f>
        <v>#DIV/0!</v>
      </c>
      <c r="S1231"/>
    </row>
    <row r="1232" spans="1:19" ht="15" customHeight="1">
      <c r="A1232" s="9"/>
      <c r="B1232" s="9"/>
      <c r="C1232" s="1">
        <f>Tabela2[[#This Row],[Data
Pedido]]-Tabela2[[#This Row],[Data Última Aprovação RC]]</f>
        <v>0</v>
      </c>
      <c r="J1232" s="1" t="str">
        <f t="shared" ca="1" si="28"/>
        <v/>
      </c>
      <c r="K1232" s="11">
        <f>Tabela2[[#This Row],[SLA
Padrão]]-Tabela2[[#This Row],[SLA Atendimento]]</f>
        <v>0</v>
      </c>
      <c r="L1232" s="11"/>
      <c r="O1232" s="1" t="s">
        <v>30</v>
      </c>
      <c r="P1232" s="2">
        <f>Tabela2[[#This Row],[Proposta
 Inicial]]-Tabela2[[#This Row],[Proposta
 Negociada]]</f>
        <v>0</v>
      </c>
      <c r="Q1232" s="4" t="e">
        <f>Tabela2[[#This Row],[Proposta
 Negociada]]/Tabela2[[#This Row],[Proposta
 Inicial]]-1</f>
        <v>#DIV/0!</v>
      </c>
      <c r="S1232"/>
    </row>
    <row r="1233" spans="1:19" ht="15" customHeight="1">
      <c r="A1233" s="9"/>
      <c r="B1233" s="9"/>
      <c r="C1233" s="1">
        <f>Tabela2[[#This Row],[Data
Pedido]]-Tabela2[[#This Row],[Data Última Aprovação RC]]</f>
        <v>0</v>
      </c>
      <c r="J1233" s="1" t="str">
        <f t="shared" ca="1" si="28"/>
        <v/>
      </c>
      <c r="K1233" s="11">
        <f>Tabela2[[#This Row],[SLA
Padrão]]-Tabela2[[#This Row],[SLA Atendimento]]</f>
        <v>0</v>
      </c>
      <c r="L1233" s="11"/>
      <c r="O1233" s="1" t="s">
        <v>30</v>
      </c>
      <c r="P1233" s="2">
        <f>Tabela2[[#This Row],[Proposta
 Inicial]]-Tabela2[[#This Row],[Proposta
 Negociada]]</f>
        <v>0</v>
      </c>
      <c r="Q1233" s="4" t="e">
        <f>Tabela2[[#This Row],[Proposta
 Negociada]]/Tabela2[[#This Row],[Proposta
 Inicial]]-1</f>
        <v>#DIV/0!</v>
      </c>
      <c r="S1233"/>
    </row>
    <row r="1234" spans="1:19" ht="15" customHeight="1">
      <c r="A1234" s="9"/>
      <c r="B1234" s="9"/>
      <c r="C1234" s="1">
        <f>Tabela2[[#This Row],[Data
Pedido]]-Tabela2[[#This Row],[Data Última Aprovação RC]]</f>
        <v>0</v>
      </c>
      <c r="J1234" s="1" t="str">
        <f t="shared" ca="1" si="28"/>
        <v/>
      </c>
      <c r="K1234" s="11">
        <f>Tabela2[[#This Row],[SLA
Padrão]]-Tabela2[[#This Row],[SLA Atendimento]]</f>
        <v>0</v>
      </c>
      <c r="L1234" s="11"/>
      <c r="O1234" s="1" t="s">
        <v>30</v>
      </c>
      <c r="P1234" s="2">
        <f>Tabela2[[#This Row],[Proposta
 Inicial]]-Tabela2[[#This Row],[Proposta
 Negociada]]</f>
        <v>0</v>
      </c>
      <c r="Q1234" s="4" t="e">
        <f>Tabela2[[#This Row],[Proposta
 Negociada]]/Tabela2[[#This Row],[Proposta
 Inicial]]-1</f>
        <v>#DIV/0!</v>
      </c>
      <c r="S1234"/>
    </row>
    <row r="1235" spans="1:19" ht="15" customHeight="1">
      <c r="A1235" s="9"/>
      <c r="B1235" s="9"/>
      <c r="C1235" s="1">
        <f>Tabela2[[#This Row],[Data
Pedido]]-Tabela2[[#This Row],[Data Última Aprovação RC]]</f>
        <v>0</v>
      </c>
      <c r="J1235" s="1" t="str">
        <f t="shared" ca="1" si="28"/>
        <v/>
      </c>
      <c r="K1235" s="11">
        <f>Tabela2[[#This Row],[SLA
Padrão]]-Tabela2[[#This Row],[SLA Atendimento]]</f>
        <v>0</v>
      </c>
      <c r="L1235" s="11"/>
      <c r="O1235" s="1" t="s">
        <v>30</v>
      </c>
      <c r="P1235" s="2">
        <f>Tabela2[[#This Row],[Proposta
 Inicial]]-Tabela2[[#This Row],[Proposta
 Negociada]]</f>
        <v>0</v>
      </c>
      <c r="Q1235" s="4" t="e">
        <f>Tabela2[[#This Row],[Proposta
 Negociada]]/Tabela2[[#This Row],[Proposta
 Inicial]]-1</f>
        <v>#DIV/0!</v>
      </c>
      <c r="S1235"/>
    </row>
    <row r="1236" spans="1:19" ht="15" customHeight="1">
      <c r="A1236" s="9"/>
      <c r="B1236" s="9"/>
      <c r="C1236" s="1">
        <f>Tabela2[[#This Row],[Data
Pedido]]-Tabela2[[#This Row],[Data Última Aprovação RC]]</f>
        <v>0</v>
      </c>
      <c r="J1236" s="1" t="str">
        <f t="shared" ca="1" si="28"/>
        <v/>
      </c>
      <c r="K1236" s="11">
        <f>Tabela2[[#This Row],[SLA
Padrão]]-Tabela2[[#This Row],[SLA Atendimento]]</f>
        <v>0</v>
      </c>
      <c r="L1236" s="11"/>
      <c r="O1236" s="1" t="s">
        <v>30</v>
      </c>
      <c r="P1236" s="2">
        <f>Tabela2[[#This Row],[Proposta
 Inicial]]-Tabela2[[#This Row],[Proposta
 Negociada]]</f>
        <v>0</v>
      </c>
      <c r="Q1236" s="4" t="e">
        <f>Tabela2[[#This Row],[Proposta
 Negociada]]/Tabela2[[#This Row],[Proposta
 Inicial]]-1</f>
        <v>#DIV/0!</v>
      </c>
      <c r="S1236"/>
    </row>
    <row r="1237" spans="1:19" ht="15" customHeight="1">
      <c r="A1237" s="9"/>
      <c r="B1237" s="9"/>
      <c r="C1237" s="1">
        <f>Tabela2[[#This Row],[Data
Pedido]]-Tabela2[[#This Row],[Data Última Aprovação RC]]</f>
        <v>0</v>
      </c>
      <c r="J1237" s="1" t="str">
        <f t="shared" ca="1" si="28"/>
        <v/>
      </c>
      <c r="K1237" s="11">
        <f>Tabela2[[#This Row],[SLA
Padrão]]-Tabela2[[#This Row],[SLA Atendimento]]</f>
        <v>0</v>
      </c>
      <c r="L1237" s="11"/>
      <c r="O1237" s="1" t="s">
        <v>30</v>
      </c>
      <c r="P1237" s="2">
        <f>Tabela2[[#This Row],[Proposta
 Inicial]]-Tabela2[[#This Row],[Proposta
 Negociada]]</f>
        <v>0</v>
      </c>
      <c r="Q1237" s="4" t="e">
        <f>Tabela2[[#This Row],[Proposta
 Negociada]]/Tabela2[[#This Row],[Proposta
 Inicial]]-1</f>
        <v>#DIV/0!</v>
      </c>
      <c r="S1237"/>
    </row>
    <row r="1238" spans="1:19" ht="15" customHeight="1">
      <c r="A1238" s="9"/>
      <c r="B1238" s="9"/>
      <c r="C1238" s="1">
        <f>Tabela2[[#This Row],[Data
Pedido]]-Tabela2[[#This Row],[Data Última Aprovação RC]]</f>
        <v>0</v>
      </c>
      <c r="J1238" s="1" t="str">
        <f t="shared" ca="1" si="28"/>
        <v/>
      </c>
      <c r="K1238" s="11">
        <f>Tabela2[[#This Row],[SLA
Padrão]]-Tabela2[[#This Row],[SLA Atendimento]]</f>
        <v>0</v>
      </c>
      <c r="L1238" s="11"/>
      <c r="O1238" s="1" t="s">
        <v>30</v>
      </c>
      <c r="P1238" s="2">
        <f>Tabela2[[#This Row],[Proposta
 Inicial]]-Tabela2[[#This Row],[Proposta
 Negociada]]</f>
        <v>0</v>
      </c>
      <c r="Q1238" s="4" t="e">
        <f>Tabela2[[#This Row],[Proposta
 Negociada]]/Tabela2[[#This Row],[Proposta
 Inicial]]-1</f>
        <v>#DIV/0!</v>
      </c>
      <c r="S1238"/>
    </row>
    <row r="1239" spans="1:19" ht="15" customHeight="1">
      <c r="A1239" s="9"/>
      <c r="B1239" s="9"/>
      <c r="C1239" s="1">
        <f>Tabela2[[#This Row],[Data
Pedido]]-Tabela2[[#This Row],[Data Última Aprovação RC]]</f>
        <v>0</v>
      </c>
      <c r="J1239" s="1" t="str">
        <f t="shared" ca="1" si="28"/>
        <v/>
      </c>
      <c r="K1239" s="11">
        <f>Tabela2[[#This Row],[SLA
Padrão]]-Tabela2[[#This Row],[SLA Atendimento]]</f>
        <v>0</v>
      </c>
      <c r="L1239" s="11"/>
      <c r="O1239" s="1" t="s">
        <v>30</v>
      </c>
      <c r="P1239" s="2">
        <f>Tabela2[[#This Row],[Proposta
 Inicial]]-Tabela2[[#This Row],[Proposta
 Negociada]]</f>
        <v>0</v>
      </c>
      <c r="Q1239" s="4" t="e">
        <f>Tabela2[[#This Row],[Proposta
 Negociada]]/Tabela2[[#This Row],[Proposta
 Inicial]]-1</f>
        <v>#DIV/0!</v>
      </c>
      <c r="S1239"/>
    </row>
    <row r="1240" spans="1:19" ht="15" customHeight="1">
      <c r="A1240" s="9"/>
      <c r="B1240" s="9"/>
      <c r="C1240" s="1">
        <f>Tabela2[[#This Row],[Data
Pedido]]-Tabela2[[#This Row],[Data Última Aprovação RC]]</f>
        <v>0</v>
      </c>
      <c r="J1240" s="1" t="str">
        <f t="shared" ca="1" si="28"/>
        <v/>
      </c>
      <c r="K1240" s="11">
        <f>Tabela2[[#This Row],[SLA
Padrão]]-Tabela2[[#This Row],[SLA Atendimento]]</f>
        <v>0</v>
      </c>
      <c r="L1240" s="11"/>
      <c r="O1240" s="1" t="s">
        <v>30</v>
      </c>
      <c r="P1240" s="2">
        <f>Tabela2[[#This Row],[Proposta
 Inicial]]-Tabela2[[#This Row],[Proposta
 Negociada]]</f>
        <v>0</v>
      </c>
      <c r="Q1240" s="4" t="e">
        <f>Tabela2[[#This Row],[Proposta
 Negociada]]/Tabela2[[#This Row],[Proposta
 Inicial]]-1</f>
        <v>#DIV/0!</v>
      </c>
      <c r="S1240"/>
    </row>
    <row r="1241" spans="1:19" ht="15" customHeight="1">
      <c r="A1241" s="9"/>
      <c r="B1241" s="9"/>
      <c r="C1241" s="1">
        <f>Tabela2[[#This Row],[Data
Pedido]]-Tabela2[[#This Row],[Data Última Aprovação RC]]</f>
        <v>0</v>
      </c>
      <c r="J1241" s="1" t="str">
        <f t="shared" ca="1" si="28"/>
        <v/>
      </c>
      <c r="K1241" s="11">
        <f>Tabela2[[#This Row],[SLA
Padrão]]-Tabela2[[#This Row],[SLA Atendimento]]</f>
        <v>0</v>
      </c>
      <c r="L1241" s="11"/>
      <c r="O1241" s="1" t="s">
        <v>30</v>
      </c>
      <c r="P1241" s="2">
        <f>Tabela2[[#This Row],[Proposta
 Inicial]]-Tabela2[[#This Row],[Proposta
 Negociada]]</f>
        <v>0</v>
      </c>
      <c r="Q1241" s="4" t="e">
        <f>Tabela2[[#This Row],[Proposta
 Negociada]]/Tabela2[[#This Row],[Proposta
 Inicial]]-1</f>
        <v>#DIV/0!</v>
      </c>
      <c r="S1241"/>
    </row>
    <row r="1242" spans="1:19" ht="15" customHeight="1">
      <c r="A1242" s="9"/>
      <c r="B1242" s="9"/>
      <c r="C1242" s="1">
        <f>Tabela2[[#This Row],[Data
Pedido]]-Tabela2[[#This Row],[Data Última Aprovação RC]]</f>
        <v>0</v>
      </c>
      <c r="J1242" s="1" t="str">
        <f t="shared" ca="1" si="28"/>
        <v/>
      </c>
      <c r="K1242" s="11">
        <f>Tabela2[[#This Row],[SLA
Padrão]]-Tabela2[[#This Row],[SLA Atendimento]]</f>
        <v>0</v>
      </c>
      <c r="L1242" s="11"/>
      <c r="O1242" s="1" t="s">
        <v>30</v>
      </c>
      <c r="P1242" s="2">
        <f>Tabela2[[#This Row],[Proposta
 Inicial]]-Tabela2[[#This Row],[Proposta
 Negociada]]</f>
        <v>0</v>
      </c>
      <c r="Q1242" s="4" t="e">
        <f>Tabela2[[#This Row],[Proposta
 Negociada]]/Tabela2[[#This Row],[Proposta
 Inicial]]-1</f>
        <v>#DIV/0!</v>
      </c>
      <c r="S1242"/>
    </row>
    <row r="1243" spans="1:19" ht="15" customHeight="1">
      <c r="A1243" s="9"/>
      <c r="B1243" s="9"/>
      <c r="C1243" s="1">
        <f>Tabela2[[#This Row],[Data
Pedido]]-Tabela2[[#This Row],[Data Última Aprovação RC]]</f>
        <v>0</v>
      </c>
      <c r="J1243" s="1" t="str">
        <f t="shared" ca="1" si="28"/>
        <v/>
      </c>
      <c r="K1243" s="11">
        <f>Tabela2[[#This Row],[SLA
Padrão]]-Tabela2[[#This Row],[SLA Atendimento]]</f>
        <v>0</v>
      </c>
      <c r="L1243" s="11"/>
      <c r="O1243" s="1" t="s">
        <v>30</v>
      </c>
      <c r="P1243" s="2">
        <f>Tabela2[[#This Row],[Proposta
 Inicial]]-Tabela2[[#This Row],[Proposta
 Negociada]]</f>
        <v>0</v>
      </c>
      <c r="Q1243" s="4" t="e">
        <f>Tabela2[[#This Row],[Proposta
 Negociada]]/Tabela2[[#This Row],[Proposta
 Inicial]]-1</f>
        <v>#DIV/0!</v>
      </c>
      <c r="S1243"/>
    </row>
    <row r="1244" spans="1:19" ht="15" customHeight="1">
      <c r="A1244" s="9"/>
      <c r="B1244" s="9"/>
      <c r="C1244" s="1">
        <f>Tabela2[[#This Row],[Data
Pedido]]-Tabela2[[#This Row],[Data Última Aprovação RC]]</f>
        <v>0</v>
      </c>
      <c r="J1244" s="1" t="str">
        <f t="shared" ca="1" si="28"/>
        <v/>
      </c>
      <c r="K1244" s="11">
        <f>Tabela2[[#This Row],[SLA
Padrão]]-Tabela2[[#This Row],[SLA Atendimento]]</f>
        <v>0</v>
      </c>
      <c r="L1244" s="11"/>
      <c r="O1244" s="1" t="s">
        <v>30</v>
      </c>
      <c r="P1244" s="2">
        <f>Tabela2[[#This Row],[Proposta
 Inicial]]-Tabela2[[#This Row],[Proposta
 Negociada]]</f>
        <v>0</v>
      </c>
      <c r="Q1244" s="4" t="e">
        <f>Tabela2[[#This Row],[Proposta
 Negociada]]/Tabela2[[#This Row],[Proposta
 Inicial]]-1</f>
        <v>#DIV/0!</v>
      </c>
      <c r="S1244"/>
    </row>
    <row r="1245" spans="1:19" ht="15" customHeight="1">
      <c r="A1245" s="9"/>
      <c r="B1245" s="9"/>
      <c r="C1245" s="1">
        <f>Tabela2[[#This Row],[Data
Pedido]]-Tabela2[[#This Row],[Data Última Aprovação RC]]</f>
        <v>0</v>
      </c>
      <c r="J1245" s="1" t="str">
        <f t="shared" ca="1" si="28"/>
        <v/>
      </c>
      <c r="K1245" s="11">
        <f>Tabela2[[#This Row],[SLA
Padrão]]-Tabela2[[#This Row],[SLA Atendimento]]</f>
        <v>0</v>
      </c>
      <c r="L1245" s="11"/>
      <c r="O1245" s="1" t="s">
        <v>30</v>
      </c>
      <c r="P1245" s="2">
        <f>Tabela2[[#This Row],[Proposta
 Inicial]]-Tabela2[[#This Row],[Proposta
 Negociada]]</f>
        <v>0</v>
      </c>
      <c r="Q1245" s="4" t="e">
        <f>Tabela2[[#This Row],[Proposta
 Negociada]]/Tabela2[[#This Row],[Proposta
 Inicial]]-1</f>
        <v>#DIV/0!</v>
      </c>
      <c r="S1245"/>
    </row>
    <row r="1246" spans="1:19" ht="15" customHeight="1">
      <c r="A1246" s="9"/>
      <c r="B1246" s="9"/>
      <c r="C1246" s="1">
        <f>Tabela2[[#This Row],[Data
Pedido]]-Tabela2[[#This Row],[Data Última Aprovação RC]]</f>
        <v>0</v>
      </c>
      <c r="J1246" s="1" t="str">
        <f t="shared" ca="1" si="28"/>
        <v/>
      </c>
      <c r="K1246" s="11">
        <f>Tabela2[[#This Row],[SLA
Padrão]]-Tabela2[[#This Row],[SLA Atendimento]]</f>
        <v>0</v>
      </c>
      <c r="L1246" s="11"/>
      <c r="O1246" s="1" t="s">
        <v>30</v>
      </c>
      <c r="P1246" s="2">
        <f>Tabela2[[#This Row],[Proposta
 Inicial]]-Tabela2[[#This Row],[Proposta
 Negociada]]</f>
        <v>0</v>
      </c>
      <c r="Q1246" s="4" t="e">
        <f>Tabela2[[#This Row],[Proposta
 Negociada]]/Tabela2[[#This Row],[Proposta
 Inicial]]-1</f>
        <v>#DIV/0!</v>
      </c>
      <c r="S1246"/>
    </row>
    <row r="1247" spans="1:19" ht="15" customHeight="1">
      <c r="A1247" s="9"/>
      <c r="B1247" s="9"/>
      <c r="C1247" s="1">
        <f>Tabela2[[#This Row],[Data
Pedido]]-Tabela2[[#This Row],[Data Última Aprovação RC]]</f>
        <v>0</v>
      </c>
      <c r="J1247" s="1" t="str">
        <f t="shared" ca="1" si="28"/>
        <v/>
      </c>
      <c r="K1247" s="11">
        <f>Tabela2[[#This Row],[SLA
Padrão]]-Tabela2[[#This Row],[SLA Atendimento]]</f>
        <v>0</v>
      </c>
      <c r="L1247" s="11"/>
      <c r="O1247" s="1" t="s">
        <v>30</v>
      </c>
      <c r="P1247" s="2">
        <f>Tabela2[[#This Row],[Proposta
 Inicial]]-Tabela2[[#This Row],[Proposta
 Negociada]]</f>
        <v>0</v>
      </c>
      <c r="Q1247" s="4" t="e">
        <f>Tabela2[[#This Row],[Proposta
 Negociada]]/Tabela2[[#This Row],[Proposta
 Inicial]]-1</f>
        <v>#DIV/0!</v>
      </c>
      <c r="S1247"/>
    </row>
    <row r="1248" spans="1:19" ht="15" customHeight="1">
      <c r="A1248" s="9"/>
      <c r="B1248" s="9"/>
      <c r="C1248" s="1">
        <f>Tabela2[[#This Row],[Data
Pedido]]-Tabela2[[#This Row],[Data Última Aprovação RC]]</f>
        <v>0</v>
      </c>
      <c r="J1248" s="1" t="str">
        <f t="shared" ca="1" si="28"/>
        <v/>
      </c>
      <c r="K1248" s="11">
        <f>Tabela2[[#This Row],[SLA
Padrão]]-Tabela2[[#This Row],[SLA Atendimento]]</f>
        <v>0</v>
      </c>
      <c r="L1248" s="11"/>
      <c r="O1248" s="1" t="s">
        <v>30</v>
      </c>
      <c r="P1248" s="2">
        <f>Tabela2[[#This Row],[Proposta
 Inicial]]-Tabela2[[#This Row],[Proposta
 Negociada]]</f>
        <v>0</v>
      </c>
      <c r="Q1248" s="4" t="e">
        <f>Tabela2[[#This Row],[Proposta
 Negociada]]/Tabela2[[#This Row],[Proposta
 Inicial]]-1</f>
        <v>#DIV/0!</v>
      </c>
      <c r="S1248"/>
    </row>
    <row r="1249" spans="1:19" ht="15" customHeight="1">
      <c r="A1249" s="9"/>
      <c r="B1249" s="9"/>
      <c r="C1249" s="1">
        <f>Tabela2[[#This Row],[Data
Pedido]]-Tabela2[[#This Row],[Data Última Aprovação RC]]</f>
        <v>0</v>
      </c>
      <c r="J1249" s="1" t="str">
        <f t="shared" ca="1" si="28"/>
        <v/>
      </c>
      <c r="K1249" s="11">
        <f>Tabela2[[#This Row],[SLA
Padrão]]-Tabela2[[#This Row],[SLA Atendimento]]</f>
        <v>0</v>
      </c>
      <c r="L1249" s="11"/>
      <c r="O1249" s="1" t="s">
        <v>30</v>
      </c>
      <c r="P1249" s="2">
        <f>Tabela2[[#This Row],[Proposta
 Inicial]]-Tabela2[[#This Row],[Proposta
 Negociada]]</f>
        <v>0</v>
      </c>
      <c r="Q1249" s="4" t="e">
        <f>Tabela2[[#This Row],[Proposta
 Negociada]]/Tabela2[[#This Row],[Proposta
 Inicial]]-1</f>
        <v>#DIV/0!</v>
      </c>
      <c r="S1249"/>
    </row>
    <row r="1250" spans="1:19" ht="15" customHeight="1">
      <c r="A1250" s="9"/>
      <c r="B1250" s="9"/>
      <c r="C1250" s="1">
        <f>Tabela2[[#This Row],[Data
Pedido]]-Tabela2[[#This Row],[Data Última Aprovação RC]]</f>
        <v>0</v>
      </c>
      <c r="J1250" s="1" t="str">
        <f t="shared" ca="1" si="28"/>
        <v/>
      </c>
      <c r="K1250" s="11">
        <f>Tabela2[[#This Row],[SLA
Padrão]]-Tabela2[[#This Row],[SLA Atendimento]]</f>
        <v>0</v>
      </c>
      <c r="L1250" s="11"/>
      <c r="O1250" s="1" t="s">
        <v>30</v>
      </c>
      <c r="P1250" s="2">
        <f>Tabela2[[#This Row],[Proposta
 Inicial]]-Tabela2[[#This Row],[Proposta
 Negociada]]</f>
        <v>0</v>
      </c>
      <c r="Q1250" s="4" t="e">
        <f>Tabela2[[#This Row],[Proposta
 Negociada]]/Tabela2[[#This Row],[Proposta
 Inicial]]-1</f>
        <v>#DIV/0!</v>
      </c>
      <c r="S1250"/>
    </row>
    <row r="1251" spans="1:19" ht="15" customHeight="1">
      <c r="A1251" s="9"/>
      <c r="B1251" s="9"/>
      <c r="C1251" s="1">
        <f>Tabela2[[#This Row],[Data
Pedido]]-Tabela2[[#This Row],[Data Última Aprovação RC]]</f>
        <v>0</v>
      </c>
      <c r="J1251" s="1" t="str">
        <f t="shared" ca="1" si="28"/>
        <v/>
      </c>
      <c r="K1251" s="11">
        <f>Tabela2[[#This Row],[SLA
Padrão]]-Tabela2[[#This Row],[SLA Atendimento]]</f>
        <v>0</v>
      </c>
      <c r="L1251" s="11"/>
      <c r="O1251" s="1" t="s">
        <v>30</v>
      </c>
      <c r="P1251" s="2">
        <f>Tabela2[[#This Row],[Proposta
 Inicial]]-Tabela2[[#This Row],[Proposta
 Negociada]]</f>
        <v>0</v>
      </c>
      <c r="Q1251" s="4" t="e">
        <f>Tabela2[[#This Row],[Proposta
 Negociada]]/Tabela2[[#This Row],[Proposta
 Inicial]]-1</f>
        <v>#DIV/0!</v>
      </c>
      <c r="S1251"/>
    </row>
    <row r="1252" spans="1:19" ht="15" customHeight="1">
      <c r="A1252" s="9"/>
      <c r="B1252" s="9"/>
      <c r="C1252" s="1">
        <f>Tabela2[[#This Row],[Data
Pedido]]-Tabela2[[#This Row],[Data Última Aprovação RC]]</f>
        <v>0</v>
      </c>
      <c r="J1252" s="1" t="str">
        <f t="shared" ca="1" si="28"/>
        <v/>
      </c>
      <c r="K1252" s="11">
        <f>Tabela2[[#This Row],[SLA
Padrão]]-Tabela2[[#This Row],[SLA Atendimento]]</f>
        <v>0</v>
      </c>
      <c r="L1252" s="11"/>
      <c r="O1252" s="1" t="s">
        <v>30</v>
      </c>
      <c r="P1252" s="2">
        <f>Tabela2[[#This Row],[Proposta
 Inicial]]-Tabela2[[#This Row],[Proposta
 Negociada]]</f>
        <v>0</v>
      </c>
      <c r="Q1252" s="4" t="e">
        <f>Tabela2[[#This Row],[Proposta
 Negociada]]/Tabela2[[#This Row],[Proposta
 Inicial]]-1</f>
        <v>#DIV/0!</v>
      </c>
      <c r="S1252"/>
    </row>
    <row r="1253" spans="1:19" ht="15" customHeight="1">
      <c r="A1253" s="9"/>
      <c r="B1253" s="9"/>
      <c r="C1253" s="1">
        <f>Tabela2[[#This Row],[Data
Pedido]]-Tabela2[[#This Row],[Data Última Aprovação RC]]</f>
        <v>0</v>
      </c>
      <c r="J1253" s="1" t="str">
        <f t="shared" ca="1" si="28"/>
        <v/>
      </c>
      <c r="K1253" s="11">
        <f>Tabela2[[#This Row],[SLA
Padrão]]-Tabela2[[#This Row],[SLA Atendimento]]</f>
        <v>0</v>
      </c>
      <c r="L1253" s="11"/>
      <c r="O1253" s="1" t="s">
        <v>30</v>
      </c>
      <c r="P1253" s="2">
        <f>Tabela2[[#This Row],[Proposta
 Inicial]]-Tabela2[[#This Row],[Proposta
 Negociada]]</f>
        <v>0</v>
      </c>
      <c r="Q1253" s="4" t="e">
        <f>Tabela2[[#This Row],[Proposta
 Negociada]]/Tabela2[[#This Row],[Proposta
 Inicial]]-1</f>
        <v>#DIV/0!</v>
      </c>
      <c r="S1253"/>
    </row>
    <row r="1254" spans="1:19" ht="15" customHeight="1">
      <c r="A1254" s="9"/>
      <c r="B1254" s="9"/>
      <c r="C1254" s="1">
        <f>Tabela2[[#This Row],[Data
Pedido]]-Tabela2[[#This Row],[Data Última Aprovação RC]]</f>
        <v>0</v>
      </c>
      <c r="J1254" s="1" t="str">
        <f t="shared" ca="1" si="28"/>
        <v/>
      </c>
      <c r="K1254" s="11">
        <f>Tabela2[[#This Row],[SLA
Padrão]]-Tabela2[[#This Row],[SLA Atendimento]]</f>
        <v>0</v>
      </c>
      <c r="L1254" s="11"/>
      <c r="O1254" s="1" t="s">
        <v>30</v>
      </c>
      <c r="P1254" s="2">
        <f>Tabela2[[#This Row],[Proposta
 Inicial]]-Tabela2[[#This Row],[Proposta
 Negociada]]</f>
        <v>0</v>
      </c>
      <c r="Q1254" s="4" t="e">
        <f>Tabela2[[#This Row],[Proposta
 Negociada]]/Tabela2[[#This Row],[Proposta
 Inicial]]-1</f>
        <v>#DIV/0!</v>
      </c>
      <c r="S1254"/>
    </row>
    <row r="1255" spans="1:19" ht="15" customHeight="1">
      <c r="A1255" s="9"/>
      <c r="B1255" s="9"/>
      <c r="C1255" s="1">
        <f>Tabela2[[#This Row],[Data
Pedido]]-Tabela2[[#This Row],[Data Última Aprovação RC]]</f>
        <v>0</v>
      </c>
      <c r="J1255" s="1" t="str">
        <f t="shared" ca="1" si="28"/>
        <v/>
      </c>
      <c r="K1255" s="11">
        <f>Tabela2[[#This Row],[SLA
Padrão]]-Tabela2[[#This Row],[SLA Atendimento]]</f>
        <v>0</v>
      </c>
      <c r="L1255" s="11"/>
      <c r="O1255" s="1" t="s">
        <v>30</v>
      </c>
      <c r="P1255" s="2">
        <f>Tabela2[[#This Row],[Proposta
 Inicial]]-Tabela2[[#This Row],[Proposta
 Negociada]]</f>
        <v>0</v>
      </c>
      <c r="Q1255" s="4" t="e">
        <f>Tabela2[[#This Row],[Proposta
 Negociada]]/Tabela2[[#This Row],[Proposta
 Inicial]]-1</f>
        <v>#DIV/0!</v>
      </c>
      <c r="S1255"/>
    </row>
    <row r="1256" spans="1:19" ht="15" customHeight="1">
      <c r="A1256" s="9"/>
      <c r="B1256" s="9"/>
      <c r="C1256" s="1">
        <f>Tabela2[[#This Row],[Data
Pedido]]-Tabela2[[#This Row],[Data Última Aprovação RC]]</f>
        <v>0</v>
      </c>
      <c r="J1256" s="1" t="str">
        <f t="shared" ca="1" si="28"/>
        <v/>
      </c>
      <c r="K1256" s="11">
        <f>Tabela2[[#This Row],[SLA
Padrão]]-Tabela2[[#This Row],[SLA Atendimento]]</f>
        <v>0</v>
      </c>
      <c r="L1256" s="11"/>
      <c r="O1256" s="1" t="s">
        <v>30</v>
      </c>
      <c r="P1256" s="2">
        <f>Tabela2[[#This Row],[Proposta
 Inicial]]-Tabela2[[#This Row],[Proposta
 Negociada]]</f>
        <v>0</v>
      </c>
      <c r="Q1256" s="4" t="e">
        <f>Tabela2[[#This Row],[Proposta
 Negociada]]/Tabela2[[#This Row],[Proposta
 Inicial]]-1</f>
        <v>#DIV/0!</v>
      </c>
      <c r="S1256"/>
    </row>
    <row r="1257" spans="1:19" ht="15" customHeight="1">
      <c r="A1257" s="9"/>
      <c r="B1257" s="9"/>
      <c r="C1257" s="1">
        <f>Tabela2[[#This Row],[Data
Pedido]]-Tabela2[[#This Row],[Data Última Aprovação RC]]</f>
        <v>0</v>
      </c>
      <c r="J1257" s="1" t="str">
        <f t="shared" ca="1" si="28"/>
        <v/>
      </c>
      <c r="K1257" s="11">
        <f>Tabela2[[#This Row],[SLA
Padrão]]-Tabela2[[#This Row],[SLA Atendimento]]</f>
        <v>0</v>
      </c>
      <c r="L1257" s="11"/>
      <c r="O1257" s="1" t="s">
        <v>30</v>
      </c>
      <c r="P1257" s="2">
        <f>Tabela2[[#This Row],[Proposta
 Inicial]]-Tabela2[[#This Row],[Proposta
 Negociada]]</f>
        <v>0</v>
      </c>
      <c r="Q1257" s="4" t="e">
        <f>Tabela2[[#This Row],[Proposta
 Negociada]]/Tabela2[[#This Row],[Proposta
 Inicial]]-1</f>
        <v>#DIV/0!</v>
      </c>
      <c r="S1257"/>
    </row>
    <row r="1258" spans="1:19" ht="15" customHeight="1">
      <c r="A1258" s="9"/>
      <c r="B1258" s="9"/>
      <c r="C1258" s="1">
        <f>Tabela2[[#This Row],[Data
Pedido]]-Tabela2[[#This Row],[Data Última Aprovação RC]]</f>
        <v>0</v>
      </c>
      <c r="J1258" s="1" t="str">
        <f t="shared" ca="1" si="28"/>
        <v/>
      </c>
      <c r="K1258" s="11">
        <f>Tabela2[[#This Row],[SLA
Padrão]]-Tabela2[[#This Row],[SLA Atendimento]]</f>
        <v>0</v>
      </c>
      <c r="L1258" s="11"/>
      <c r="O1258" s="1" t="s">
        <v>30</v>
      </c>
      <c r="P1258" s="2">
        <f>Tabela2[[#This Row],[Proposta
 Inicial]]-Tabela2[[#This Row],[Proposta
 Negociada]]</f>
        <v>0</v>
      </c>
      <c r="Q1258" s="4" t="e">
        <f>Tabela2[[#This Row],[Proposta
 Negociada]]/Tabela2[[#This Row],[Proposta
 Inicial]]-1</f>
        <v>#DIV/0!</v>
      </c>
      <c r="S1258"/>
    </row>
    <row r="1259" spans="1:19" ht="15" customHeight="1">
      <c r="A1259" s="9"/>
      <c r="B1259" s="9"/>
      <c r="C1259" s="1">
        <f>Tabela2[[#This Row],[Data
Pedido]]-Tabela2[[#This Row],[Data Última Aprovação RC]]</f>
        <v>0</v>
      </c>
      <c r="J1259" s="1" t="str">
        <f t="shared" ref="J1259:J1322" ca="1" si="29">IF(A1259="","",IF(B1259="",IF(TODAY()-A1259&gt;I1259,"ATRASADA","EM ANDAMENTO"),IF(B1259-A1259&gt;I1259,"ATRASADA","NO PRAZO")))</f>
        <v/>
      </c>
      <c r="K1259" s="11">
        <f>Tabela2[[#This Row],[SLA
Padrão]]-Tabela2[[#This Row],[SLA Atendimento]]</f>
        <v>0</v>
      </c>
      <c r="L1259" s="11"/>
      <c r="O1259" s="1" t="s">
        <v>30</v>
      </c>
      <c r="P1259" s="2">
        <f>Tabela2[[#This Row],[Proposta
 Inicial]]-Tabela2[[#This Row],[Proposta
 Negociada]]</f>
        <v>0</v>
      </c>
      <c r="Q1259" s="4" t="e">
        <f>Tabela2[[#This Row],[Proposta
 Negociada]]/Tabela2[[#This Row],[Proposta
 Inicial]]-1</f>
        <v>#DIV/0!</v>
      </c>
      <c r="S1259"/>
    </row>
    <row r="1260" spans="1:19" ht="15" customHeight="1">
      <c r="A1260" s="9"/>
      <c r="B1260" s="9"/>
      <c r="C1260" s="1">
        <f>Tabela2[[#This Row],[Data
Pedido]]-Tabela2[[#This Row],[Data Última Aprovação RC]]</f>
        <v>0</v>
      </c>
      <c r="J1260" s="1" t="str">
        <f t="shared" ca="1" si="29"/>
        <v/>
      </c>
      <c r="K1260" s="11">
        <f>Tabela2[[#This Row],[SLA
Padrão]]-Tabela2[[#This Row],[SLA Atendimento]]</f>
        <v>0</v>
      </c>
      <c r="L1260" s="11"/>
      <c r="O1260" s="1" t="s">
        <v>30</v>
      </c>
      <c r="P1260" s="2">
        <f>Tabela2[[#This Row],[Proposta
 Inicial]]-Tabela2[[#This Row],[Proposta
 Negociada]]</f>
        <v>0</v>
      </c>
      <c r="Q1260" s="4" t="e">
        <f>Tabela2[[#This Row],[Proposta
 Negociada]]/Tabela2[[#This Row],[Proposta
 Inicial]]-1</f>
        <v>#DIV/0!</v>
      </c>
      <c r="S1260"/>
    </row>
    <row r="1261" spans="1:19" ht="15" customHeight="1">
      <c r="A1261" s="9"/>
      <c r="B1261" s="9"/>
      <c r="C1261" s="1">
        <f>Tabela2[[#This Row],[Data
Pedido]]-Tabela2[[#This Row],[Data Última Aprovação RC]]</f>
        <v>0</v>
      </c>
      <c r="J1261" s="1" t="str">
        <f t="shared" ca="1" si="29"/>
        <v/>
      </c>
      <c r="K1261" s="11">
        <f>Tabela2[[#This Row],[SLA
Padrão]]-Tabela2[[#This Row],[SLA Atendimento]]</f>
        <v>0</v>
      </c>
      <c r="L1261" s="11"/>
      <c r="O1261" s="1" t="s">
        <v>30</v>
      </c>
      <c r="P1261" s="2">
        <f>Tabela2[[#This Row],[Proposta
 Inicial]]-Tabela2[[#This Row],[Proposta
 Negociada]]</f>
        <v>0</v>
      </c>
      <c r="Q1261" s="4" t="e">
        <f>Tabela2[[#This Row],[Proposta
 Negociada]]/Tabela2[[#This Row],[Proposta
 Inicial]]-1</f>
        <v>#DIV/0!</v>
      </c>
      <c r="S1261"/>
    </row>
    <row r="1262" spans="1:19" ht="15" customHeight="1">
      <c r="A1262" s="9"/>
      <c r="B1262" s="9"/>
      <c r="C1262" s="1">
        <f>Tabela2[[#This Row],[Data
Pedido]]-Tabela2[[#This Row],[Data Última Aprovação RC]]</f>
        <v>0</v>
      </c>
      <c r="J1262" s="1" t="str">
        <f t="shared" ca="1" si="29"/>
        <v/>
      </c>
      <c r="K1262" s="11">
        <f>Tabela2[[#This Row],[SLA
Padrão]]-Tabela2[[#This Row],[SLA Atendimento]]</f>
        <v>0</v>
      </c>
      <c r="L1262" s="11"/>
      <c r="O1262" s="1" t="s">
        <v>30</v>
      </c>
      <c r="P1262" s="2">
        <f>Tabela2[[#This Row],[Proposta
 Inicial]]-Tabela2[[#This Row],[Proposta
 Negociada]]</f>
        <v>0</v>
      </c>
      <c r="Q1262" s="4" t="e">
        <f>Tabela2[[#This Row],[Proposta
 Negociada]]/Tabela2[[#This Row],[Proposta
 Inicial]]-1</f>
        <v>#DIV/0!</v>
      </c>
      <c r="S1262"/>
    </row>
    <row r="1263" spans="1:19" ht="15" customHeight="1">
      <c r="A1263" s="9"/>
      <c r="B1263" s="9"/>
      <c r="C1263" s="1">
        <f>Tabela2[[#This Row],[Data
Pedido]]-Tabela2[[#This Row],[Data Última Aprovação RC]]</f>
        <v>0</v>
      </c>
      <c r="J1263" s="1" t="str">
        <f t="shared" ca="1" si="29"/>
        <v/>
      </c>
      <c r="K1263" s="11">
        <f>Tabela2[[#This Row],[SLA
Padrão]]-Tabela2[[#This Row],[SLA Atendimento]]</f>
        <v>0</v>
      </c>
      <c r="L1263" s="11"/>
      <c r="O1263" s="1" t="s">
        <v>30</v>
      </c>
      <c r="P1263" s="2">
        <f>Tabela2[[#This Row],[Proposta
 Inicial]]-Tabela2[[#This Row],[Proposta
 Negociada]]</f>
        <v>0</v>
      </c>
      <c r="Q1263" s="4" t="e">
        <f>Tabela2[[#This Row],[Proposta
 Negociada]]/Tabela2[[#This Row],[Proposta
 Inicial]]-1</f>
        <v>#DIV/0!</v>
      </c>
      <c r="S1263"/>
    </row>
    <row r="1264" spans="1:19" ht="15" customHeight="1">
      <c r="A1264" s="9"/>
      <c r="B1264" s="9"/>
      <c r="C1264" s="1">
        <f>Tabela2[[#This Row],[Data
Pedido]]-Tabela2[[#This Row],[Data Última Aprovação RC]]</f>
        <v>0</v>
      </c>
      <c r="J1264" s="1" t="str">
        <f t="shared" ca="1" si="29"/>
        <v/>
      </c>
      <c r="K1264" s="11">
        <f>Tabela2[[#This Row],[SLA
Padrão]]-Tabela2[[#This Row],[SLA Atendimento]]</f>
        <v>0</v>
      </c>
      <c r="L1264" s="11"/>
      <c r="O1264" s="1" t="s">
        <v>30</v>
      </c>
      <c r="P1264" s="2">
        <f>Tabela2[[#This Row],[Proposta
 Inicial]]-Tabela2[[#This Row],[Proposta
 Negociada]]</f>
        <v>0</v>
      </c>
      <c r="Q1264" s="4" t="e">
        <f>Tabela2[[#This Row],[Proposta
 Negociada]]/Tabela2[[#This Row],[Proposta
 Inicial]]-1</f>
        <v>#DIV/0!</v>
      </c>
      <c r="S1264"/>
    </row>
    <row r="1265" spans="1:19" ht="15" customHeight="1">
      <c r="A1265" s="9"/>
      <c r="B1265" s="9"/>
      <c r="C1265" s="1">
        <f>Tabela2[[#This Row],[Data
Pedido]]-Tabela2[[#This Row],[Data Última Aprovação RC]]</f>
        <v>0</v>
      </c>
      <c r="J1265" s="1" t="str">
        <f t="shared" ca="1" si="29"/>
        <v/>
      </c>
      <c r="K1265" s="11">
        <f>Tabela2[[#This Row],[SLA
Padrão]]-Tabela2[[#This Row],[SLA Atendimento]]</f>
        <v>0</v>
      </c>
      <c r="L1265" s="11"/>
      <c r="O1265" s="1" t="s">
        <v>30</v>
      </c>
      <c r="P1265" s="2">
        <f>Tabela2[[#This Row],[Proposta
 Inicial]]-Tabela2[[#This Row],[Proposta
 Negociada]]</f>
        <v>0</v>
      </c>
      <c r="Q1265" s="4" t="e">
        <f>Tabela2[[#This Row],[Proposta
 Negociada]]/Tabela2[[#This Row],[Proposta
 Inicial]]-1</f>
        <v>#DIV/0!</v>
      </c>
      <c r="S1265"/>
    </row>
    <row r="1266" spans="1:19" ht="15" customHeight="1">
      <c r="A1266" s="9"/>
      <c r="B1266" s="9"/>
      <c r="C1266" s="1">
        <f>Tabela2[[#This Row],[Data
Pedido]]-Tabela2[[#This Row],[Data Última Aprovação RC]]</f>
        <v>0</v>
      </c>
      <c r="J1266" s="1" t="str">
        <f t="shared" ca="1" si="29"/>
        <v/>
      </c>
      <c r="K1266" s="11">
        <f>Tabela2[[#This Row],[SLA
Padrão]]-Tabela2[[#This Row],[SLA Atendimento]]</f>
        <v>0</v>
      </c>
      <c r="L1266" s="11"/>
      <c r="O1266" s="1" t="s">
        <v>30</v>
      </c>
      <c r="P1266" s="2">
        <f>Tabela2[[#This Row],[Proposta
 Inicial]]-Tabela2[[#This Row],[Proposta
 Negociada]]</f>
        <v>0</v>
      </c>
      <c r="Q1266" s="4" t="e">
        <f>Tabela2[[#This Row],[Proposta
 Negociada]]/Tabela2[[#This Row],[Proposta
 Inicial]]-1</f>
        <v>#DIV/0!</v>
      </c>
      <c r="S1266"/>
    </row>
    <row r="1267" spans="1:19" ht="15" customHeight="1">
      <c r="A1267" s="9"/>
      <c r="B1267" s="9"/>
      <c r="C1267" s="1">
        <f>Tabela2[[#This Row],[Data
Pedido]]-Tabela2[[#This Row],[Data Última Aprovação RC]]</f>
        <v>0</v>
      </c>
      <c r="J1267" s="1" t="str">
        <f t="shared" ca="1" si="29"/>
        <v/>
      </c>
      <c r="K1267" s="11">
        <f>Tabela2[[#This Row],[SLA
Padrão]]-Tabela2[[#This Row],[SLA Atendimento]]</f>
        <v>0</v>
      </c>
      <c r="L1267" s="11"/>
      <c r="O1267" s="1" t="s">
        <v>30</v>
      </c>
      <c r="P1267" s="2">
        <f>Tabela2[[#This Row],[Proposta
 Inicial]]-Tabela2[[#This Row],[Proposta
 Negociada]]</f>
        <v>0</v>
      </c>
      <c r="Q1267" s="4" t="e">
        <f>Tabela2[[#This Row],[Proposta
 Negociada]]/Tabela2[[#This Row],[Proposta
 Inicial]]-1</f>
        <v>#DIV/0!</v>
      </c>
      <c r="S1267"/>
    </row>
    <row r="1268" spans="1:19" ht="15" customHeight="1">
      <c r="A1268" s="9"/>
      <c r="B1268" s="9"/>
      <c r="C1268" s="1">
        <f>Tabela2[[#This Row],[Data
Pedido]]-Tabela2[[#This Row],[Data Última Aprovação RC]]</f>
        <v>0</v>
      </c>
      <c r="J1268" s="1" t="str">
        <f t="shared" ca="1" si="29"/>
        <v/>
      </c>
      <c r="K1268" s="11">
        <f>Tabela2[[#This Row],[SLA
Padrão]]-Tabela2[[#This Row],[SLA Atendimento]]</f>
        <v>0</v>
      </c>
      <c r="L1268" s="11"/>
      <c r="O1268" s="1" t="s">
        <v>30</v>
      </c>
      <c r="P1268" s="2">
        <f>Tabela2[[#This Row],[Proposta
 Inicial]]-Tabela2[[#This Row],[Proposta
 Negociada]]</f>
        <v>0</v>
      </c>
      <c r="Q1268" s="4" t="e">
        <f>Tabela2[[#This Row],[Proposta
 Negociada]]/Tabela2[[#This Row],[Proposta
 Inicial]]-1</f>
        <v>#DIV/0!</v>
      </c>
      <c r="S1268"/>
    </row>
    <row r="1269" spans="1:19" ht="15" customHeight="1">
      <c r="A1269" s="9"/>
      <c r="B1269" s="9"/>
      <c r="C1269" s="1">
        <f>Tabela2[[#This Row],[Data
Pedido]]-Tabela2[[#This Row],[Data Última Aprovação RC]]</f>
        <v>0</v>
      </c>
      <c r="J1269" s="1" t="str">
        <f t="shared" ca="1" si="29"/>
        <v/>
      </c>
      <c r="K1269" s="11">
        <f>Tabela2[[#This Row],[SLA
Padrão]]-Tabela2[[#This Row],[SLA Atendimento]]</f>
        <v>0</v>
      </c>
      <c r="L1269" s="11"/>
      <c r="O1269" s="1" t="s">
        <v>30</v>
      </c>
      <c r="P1269" s="2">
        <f>Tabela2[[#This Row],[Proposta
 Inicial]]-Tabela2[[#This Row],[Proposta
 Negociada]]</f>
        <v>0</v>
      </c>
      <c r="Q1269" s="4" t="e">
        <f>Tabela2[[#This Row],[Proposta
 Negociada]]/Tabela2[[#This Row],[Proposta
 Inicial]]-1</f>
        <v>#DIV/0!</v>
      </c>
      <c r="S1269"/>
    </row>
    <row r="1270" spans="1:19" ht="15" customHeight="1">
      <c r="A1270" s="9"/>
      <c r="B1270" s="9"/>
      <c r="C1270" s="1">
        <f>Tabela2[[#This Row],[Data
Pedido]]-Tabela2[[#This Row],[Data Última Aprovação RC]]</f>
        <v>0</v>
      </c>
      <c r="J1270" s="1" t="str">
        <f t="shared" ca="1" si="29"/>
        <v/>
      </c>
      <c r="K1270" s="11">
        <f>Tabela2[[#This Row],[SLA
Padrão]]-Tabela2[[#This Row],[SLA Atendimento]]</f>
        <v>0</v>
      </c>
      <c r="L1270" s="11"/>
      <c r="O1270" s="1" t="s">
        <v>30</v>
      </c>
      <c r="P1270" s="2">
        <f>Tabela2[[#This Row],[Proposta
 Inicial]]-Tabela2[[#This Row],[Proposta
 Negociada]]</f>
        <v>0</v>
      </c>
      <c r="Q1270" s="4" t="e">
        <f>Tabela2[[#This Row],[Proposta
 Negociada]]/Tabela2[[#This Row],[Proposta
 Inicial]]-1</f>
        <v>#DIV/0!</v>
      </c>
      <c r="S1270"/>
    </row>
    <row r="1271" spans="1:19" ht="15" customHeight="1">
      <c r="A1271" s="9"/>
      <c r="B1271" s="9"/>
      <c r="C1271" s="1">
        <f>Tabela2[[#This Row],[Data
Pedido]]-Tabela2[[#This Row],[Data Última Aprovação RC]]</f>
        <v>0</v>
      </c>
      <c r="J1271" s="1" t="str">
        <f t="shared" ca="1" si="29"/>
        <v/>
      </c>
      <c r="K1271" s="11">
        <f>Tabela2[[#This Row],[SLA
Padrão]]-Tabela2[[#This Row],[SLA Atendimento]]</f>
        <v>0</v>
      </c>
      <c r="L1271" s="11"/>
      <c r="O1271" s="1" t="s">
        <v>30</v>
      </c>
      <c r="P1271" s="2">
        <f>Tabela2[[#This Row],[Proposta
 Inicial]]-Tabela2[[#This Row],[Proposta
 Negociada]]</f>
        <v>0</v>
      </c>
      <c r="Q1271" s="4" t="e">
        <f>Tabela2[[#This Row],[Proposta
 Negociada]]/Tabela2[[#This Row],[Proposta
 Inicial]]-1</f>
        <v>#DIV/0!</v>
      </c>
      <c r="S1271"/>
    </row>
    <row r="1272" spans="1:19" ht="15" customHeight="1">
      <c r="A1272" s="9"/>
      <c r="B1272" s="9"/>
      <c r="C1272" s="1">
        <f>Tabela2[[#This Row],[Data
Pedido]]-Tabela2[[#This Row],[Data Última Aprovação RC]]</f>
        <v>0</v>
      </c>
      <c r="J1272" s="1" t="str">
        <f t="shared" ca="1" si="29"/>
        <v/>
      </c>
      <c r="K1272" s="11">
        <f>Tabela2[[#This Row],[SLA
Padrão]]-Tabela2[[#This Row],[SLA Atendimento]]</f>
        <v>0</v>
      </c>
      <c r="L1272" s="11"/>
      <c r="O1272" s="1" t="s">
        <v>30</v>
      </c>
      <c r="P1272" s="2">
        <f>Tabela2[[#This Row],[Proposta
 Inicial]]-Tabela2[[#This Row],[Proposta
 Negociada]]</f>
        <v>0</v>
      </c>
      <c r="Q1272" s="4" t="e">
        <f>Tabela2[[#This Row],[Proposta
 Negociada]]/Tabela2[[#This Row],[Proposta
 Inicial]]-1</f>
        <v>#DIV/0!</v>
      </c>
      <c r="S1272"/>
    </row>
    <row r="1273" spans="1:19" ht="15" customHeight="1">
      <c r="A1273" s="9"/>
      <c r="B1273" s="9"/>
      <c r="C1273" s="1">
        <f>Tabela2[[#This Row],[Data
Pedido]]-Tabela2[[#This Row],[Data Última Aprovação RC]]</f>
        <v>0</v>
      </c>
      <c r="J1273" s="1" t="str">
        <f t="shared" ca="1" si="29"/>
        <v/>
      </c>
      <c r="K1273" s="11">
        <f>Tabela2[[#This Row],[SLA
Padrão]]-Tabela2[[#This Row],[SLA Atendimento]]</f>
        <v>0</v>
      </c>
      <c r="L1273" s="11"/>
      <c r="O1273" s="1" t="s">
        <v>30</v>
      </c>
      <c r="P1273" s="2">
        <f>Tabela2[[#This Row],[Proposta
 Inicial]]-Tabela2[[#This Row],[Proposta
 Negociada]]</f>
        <v>0</v>
      </c>
      <c r="Q1273" s="4" t="e">
        <f>Tabela2[[#This Row],[Proposta
 Negociada]]/Tabela2[[#This Row],[Proposta
 Inicial]]-1</f>
        <v>#DIV/0!</v>
      </c>
      <c r="S1273"/>
    </row>
    <row r="1274" spans="1:19" ht="15" customHeight="1">
      <c r="A1274" s="9"/>
      <c r="B1274" s="9"/>
      <c r="C1274" s="1">
        <f>Tabela2[[#This Row],[Data
Pedido]]-Tabela2[[#This Row],[Data Última Aprovação RC]]</f>
        <v>0</v>
      </c>
      <c r="J1274" s="1" t="str">
        <f t="shared" ca="1" si="29"/>
        <v/>
      </c>
      <c r="K1274" s="11">
        <f>Tabela2[[#This Row],[SLA
Padrão]]-Tabela2[[#This Row],[SLA Atendimento]]</f>
        <v>0</v>
      </c>
      <c r="L1274" s="11"/>
      <c r="O1274" s="1" t="s">
        <v>30</v>
      </c>
      <c r="P1274" s="2">
        <f>Tabela2[[#This Row],[Proposta
 Inicial]]-Tabela2[[#This Row],[Proposta
 Negociada]]</f>
        <v>0</v>
      </c>
      <c r="Q1274" s="4" t="e">
        <f>Tabela2[[#This Row],[Proposta
 Negociada]]/Tabela2[[#This Row],[Proposta
 Inicial]]-1</f>
        <v>#DIV/0!</v>
      </c>
      <c r="S1274"/>
    </row>
    <row r="1275" spans="1:19" ht="15" customHeight="1">
      <c r="A1275" s="9"/>
      <c r="B1275" s="9"/>
      <c r="C1275" s="1">
        <f>Tabela2[[#This Row],[Data
Pedido]]-Tabela2[[#This Row],[Data Última Aprovação RC]]</f>
        <v>0</v>
      </c>
      <c r="J1275" s="1" t="str">
        <f t="shared" ca="1" si="29"/>
        <v/>
      </c>
      <c r="K1275" s="11">
        <f>Tabela2[[#This Row],[SLA
Padrão]]-Tabela2[[#This Row],[SLA Atendimento]]</f>
        <v>0</v>
      </c>
      <c r="L1275" s="11"/>
      <c r="O1275" s="1" t="s">
        <v>30</v>
      </c>
      <c r="P1275" s="2">
        <f>Tabela2[[#This Row],[Proposta
 Inicial]]-Tabela2[[#This Row],[Proposta
 Negociada]]</f>
        <v>0</v>
      </c>
      <c r="Q1275" s="4" t="e">
        <f>Tabela2[[#This Row],[Proposta
 Negociada]]/Tabela2[[#This Row],[Proposta
 Inicial]]-1</f>
        <v>#DIV/0!</v>
      </c>
      <c r="S1275"/>
    </row>
    <row r="1276" spans="1:19" ht="15" customHeight="1">
      <c r="A1276" s="9"/>
      <c r="B1276" s="9"/>
      <c r="C1276" s="1">
        <f>Tabela2[[#This Row],[Data
Pedido]]-Tabela2[[#This Row],[Data Última Aprovação RC]]</f>
        <v>0</v>
      </c>
      <c r="J1276" s="1" t="str">
        <f t="shared" ca="1" si="29"/>
        <v/>
      </c>
      <c r="K1276" s="11">
        <f>Tabela2[[#This Row],[SLA
Padrão]]-Tabela2[[#This Row],[SLA Atendimento]]</f>
        <v>0</v>
      </c>
      <c r="L1276" s="11"/>
      <c r="O1276" s="1" t="s">
        <v>30</v>
      </c>
      <c r="P1276" s="2">
        <f>Tabela2[[#This Row],[Proposta
 Inicial]]-Tabela2[[#This Row],[Proposta
 Negociada]]</f>
        <v>0</v>
      </c>
      <c r="Q1276" s="4" t="e">
        <f>Tabela2[[#This Row],[Proposta
 Negociada]]/Tabela2[[#This Row],[Proposta
 Inicial]]-1</f>
        <v>#DIV/0!</v>
      </c>
      <c r="S1276"/>
    </row>
    <row r="1277" spans="1:19" ht="15" customHeight="1">
      <c r="A1277" s="9"/>
      <c r="B1277" s="9"/>
      <c r="C1277" s="1">
        <f>Tabela2[[#This Row],[Data
Pedido]]-Tabela2[[#This Row],[Data Última Aprovação RC]]</f>
        <v>0</v>
      </c>
      <c r="J1277" s="1" t="str">
        <f t="shared" ca="1" si="29"/>
        <v/>
      </c>
      <c r="K1277" s="11">
        <f>Tabela2[[#This Row],[SLA
Padrão]]-Tabela2[[#This Row],[SLA Atendimento]]</f>
        <v>0</v>
      </c>
      <c r="L1277" s="11"/>
      <c r="O1277" s="1" t="s">
        <v>30</v>
      </c>
      <c r="P1277" s="2">
        <f>Tabela2[[#This Row],[Proposta
 Inicial]]-Tabela2[[#This Row],[Proposta
 Negociada]]</f>
        <v>0</v>
      </c>
      <c r="Q1277" s="4" t="e">
        <f>Tabela2[[#This Row],[Proposta
 Negociada]]/Tabela2[[#This Row],[Proposta
 Inicial]]-1</f>
        <v>#DIV/0!</v>
      </c>
      <c r="S1277"/>
    </row>
    <row r="1278" spans="1:19" ht="15" customHeight="1">
      <c r="A1278" s="9"/>
      <c r="B1278" s="9"/>
      <c r="C1278" s="1">
        <f>Tabela2[[#This Row],[Data
Pedido]]-Tabela2[[#This Row],[Data Última Aprovação RC]]</f>
        <v>0</v>
      </c>
      <c r="J1278" s="1" t="str">
        <f t="shared" ca="1" si="29"/>
        <v/>
      </c>
      <c r="K1278" s="11">
        <f>Tabela2[[#This Row],[SLA
Padrão]]-Tabela2[[#This Row],[SLA Atendimento]]</f>
        <v>0</v>
      </c>
      <c r="L1278" s="11"/>
      <c r="O1278" s="1" t="s">
        <v>30</v>
      </c>
      <c r="P1278" s="2">
        <f>Tabela2[[#This Row],[Proposta
 Inicial]]-Tabela2[[#This Row],[Proposta
 Negociada]]</f>
        <v>0</v>
      </c>
      <c r="Q1278" s="4" t="e">
        <f>Tabela2[[#This Row],[Proposta
 Negociada]]/Tabela2[[#This Row],[Proposta
 Inicial]]-1</f>
        <v>#DIV/0!</v>
      </c>
      <c r="S1278"/>
    </row>
    <row r="1279" spans="1:19" ht="15" customHeight="1">
      <c r="A1279" s="9"/>
      <c r="B1279" s="9"/>
      <c r="C1279" s="1">
        <f>Tabela2[[#This Row],[Data
Pedido]]-Tabela2[[#This Row],[Data Última Aprovação RC]]</f>
        <v>0</v>
      </c>
      <c r="J1279" s="1" t="str">
        <f t="shared" ca="1" si="29"/>
        <v/>
      </c>
      <c r="K1279" s="11">
        <f>Tabela2[[#This Row],[SLA
Padrão]]-Tabela2[[#This Row],[SLA Atendimento]]</f>
        <v>0</v>
      </c>
      <c r="L1279" s="11"/>
      <c r="O1279" s="1" t="s">
        <v>30</v>
      </c>
      <c r="P1279" s="2">
        <f>Tabela2[[#This Row],[Proposta
 Inicial]]-Tabela2[[#This Row],[Proposta
 Negociada]]</f>
        <v>0</v>
      </c>
      <c r="Q1279" s="4" t="e">
        <f>Tabela2[[#This Row],[Proposta
 Negociada]]/Tabela2[[#This Row],[Proposta
 Inicial]]-1</f>
        <v>#DIV/0!</v>
      </c>
      <c r="S1279"/>
    </row>
    <row r="1280" spans="1:19" ht="15" customHeight="1">
      <c r="A1280" s="9"/>
      <c r="B1280" s="9"/>
      <c r="C1280" s="1">
        <f>Tabela2[[#This Row],[Data
Pedido]]-Tabela2[[#This Row],[Data Última Aprovação RC]]</f>
        <v>0</v>
      </c>
      <c r="J1280" s="1" t="str">
        <f t="shared" ca="1" si="29"/>
        <v/>
      </c>
      <c r="K1280" s="11">
        <f>Tabela2[[#This Row],[SLA
Padrão]]-Tabela2[[#This Row],[SLA Atendimento]]</f>
        <v>0</v>
      </c>
      <c r="L1280" s="11"/>
      <c r="O1280" s="1" t="s">
        <v>30</v>
      </c>
      <c r="P1280" s="2">
        <f>Tabela2[[#This Row],[Proposta
 Inicial]]-Tabela2[[#This Row],[Proposta
 Negociada]]</f>
        <v>0</v>
      </c>
      <c r="Q1280" s="4" t="e">
        <f>Tabela2[[#This Row],[Proposta
 Negociada]]/Tabela2[[#This Row],[Proposta
 Inicial]]-1</f>
        <v>#DIV/0!</v>
      </c>
      <c r="S1280"/>
    </row>
    <row r="1281" spans="1:19" ht="15" customHeight="1">
      <c r="A1281" s="9"/>
      <c r="B1281" s="9"/>
      <c r="C1281" s="1">
        <f>Tabela2[[#This Row],[Data
Pedido]]-Tabela2[[#This Row],[Data Última Aprovação RC]]</f>
        <v>0</v>
      </c>
      <c r="J1281" s="1" t="str">
        <f t="shared" ca="1" si="29"/>
        <v/>
      </c>
      <c r="K1281" s="11">
        <f>Tabela2[[#This Row],[SLA
Padrão]]-Tabela2[[#This Row],[SLA Atendimento]]</f>
        <v>0</v>
      </c>
      <c r="L1281" s="11"/>
      <c r="O1281" s="1" t="s">
        <v>30</v>
      </c>
      <c r="P1281" s="2">
        <f>Tabela2[[#This Row],[Proposta
 Inicial]]-Tabela2[[#This Row],[Proposta
 Negociada]]</f>
        <v>0</v>
      </c>
      <c r="Q1281" s="4" t="e">
        <f>Tabela2[[#This Row],[Proposta
 Negociada]]/Tabela2[[#This Row],[Proposta
 Inicial]]-1</f>
        <v>#DIV/0!</v>
      </c>
      <c r="S1281"/>
    </row>
    <row r="1282" spans="1:19" ht="15" customHeight="1">
      <c r="A1282" s="9"/>
      <c r="B1282" s="9"/>
      <c r="C1282" s="1">
        <f>Tabela2[[#This Row],[Data
Pedido]]-Tabela2[[#This Row],[Data Última Aprovação RC]]</f>
        <v>0</v>
      </c>
      <c r="J1282" s="1" t="str">
        <f t="shared" ca="1" si="29"/>
        <v/>
      </c>
      <c r="K1282" s="11">
        <f>Tabela2[[#This Row],[SLA
Padrão]]-Tabela2[[#This Row],[SLA Atendimento]]</f>
        <v>0</v>
      </c>
      <c r="L1282" s="11"/>
      <c r="O1282" s="1" t="s">
        <v>30</v>
      </c>
      <c r="P1282" s="2">
        <f>Tabela2[[#This Row],[Proposta
 Inicial]]-Tabela2[[#This Row],[Proposta
 Negociada]]</f>
        <v>0</v>
      </c>
      <c r="Q1282" s="4" t="e">
        <f>Tabela2[[#This Row],[Proposta
 Negociada]]/Tabela2[[#This Row],[Proposta
 Inicial]]-1</f>
        <v>#DIV/0!</v>
      </c>
      <c r="S1282"/>
    </row>
    <row r="1283" spans="1:19" ht="15" customHeight="1">
      <c r="A1283" s="9"/>
      <c r="B1283" s="9"/>
      <c r="C1283" s="1">
        <f>Tabela2[[#This Row],[Data
Pedido]]-Tabela2[[#This Row],[Data Última Aprovação RC]]</f>
        <v>0</v>
      </c>
      <c r="J1283" s="1" t="str">
        <f t="shared" ca="1" si="29"/>
        <v/>
      </c>
      <c r="K1283" s="11">
        <f>Tabela2[[#This Row],[SLA
Padrão]]-Tabela2[[#This Row],[SLA Atendimento]]</f>
        <v>0</v>
      </c>
      <c r="L1283" s="11"/>
      <c r="O1283" s="1" t="s">
        <v>30</v>
      </c>
      <c r="P1283" s="2">
        <f>Tabela2[[#This Row],[Proposta
 Inicial]]-Tabela2[[#This Row],[Proposta
 Negociada]]</f>
        <v>0</v>
      </c>
      <c r="Q1283" s="4" t="e">
        <f>Tabela2[[#This Row],[Proposta
 Negociada]]/Tabela2[[#This Row],[Proposta
 Inicial]]-1</f>
        <v>#DIV/0!</v>
      </c>
      <c r="S1283"/>
    </row>
    <row r="1284" spans="1:19" ht="15" customHeight="1">
      <c r="A1284" s="9"/>
      <c r="B1284" s="9"/>
      <c r="C1284" s="1">
        <f>Tabela2[[#This Row],[Data
Pedido]]-Tabela2[[#This Row],[Data Última Aprovação RC]]</f>
        <v>0</v>
      </c>
      <c r="J1284" s="1" t="str">
        <f t="shared" ca="1" si="29"/>
        <v/>
      </c>
      <c r="K1284" s="11">
        <f>Tabela2[[#This Row],[SLA
Padrão]]-Tabela2[[#This Row],[SLA Atendimento]]</f>
        <v>0</v>
      </c>
      <c r="L1284" s="11"/>
      <c r="O1284" s="1" t="s">
        <v>30</v>
      </c>
      <c r="P1284" s="2">
        <f>Tabela2[[#This Row],[Proposta
 Inicial]]-Tabela2[[#This Row],[Proposta
 Negociada]]</f>
        <v>0</v>
      </c>
      <c r="Q1284" s="4" t="e">
        <f>Tabela2[[#This Row],[Proposta
 Negociada]]/Tabela2[[#This Row],[Proposta
 Inicial]]-1</f>
        <v>#DIV/0!</v>
      </c>
      <c r="S1284"/>
    </row>
    <row r="1285" spans="1:19" ht="15" customHeight="1">
      <c r="A1285" s="9"/>
      <c r="B1285" s="9"/>
      <c r="C1285" s="1">
        <f>Tabela2[[#This Row],[Data
Pedido]]-Tabela2[[#This Row],[Data Última Aprovação RC]]</f>
        <v>0</v>
      </c>
      <c r="J1285" s="1" t="str">
        <f t="shared" ca="1" si="29"/>
        <v/>
      </c>
      <c r="K1285" s="11">
        <f>Tabela2[[#This Row],[SLA
Padrão]]-Tabela2[[#This Row],[SLA Atendimento]]</f>
        <v>0</v>
      </c>
      <c r="L1285" s="11"/>
      <c r="O1285" s="1" t="s">
        <v>30</v>
      </c>
      <c r="P1285" s="2">
        <f>Tabela2[[#This Row],[Proposta
 Inicial]]-Tabela2[[#This Row],[Proposta
 Negociada]]</f>
        <v>0</v>
      </c>
      <c r="Q1285" s="4" t="e">
        <f>Tabela2[[#This Row],[Proposta
 Negociada]]/Tabela2[[#This Row],[Proposta
 Inicial]]-1</f>
        <v>#DIV/0!</v>
      </c>
      <c r="S1285"/>
    </row>
    <row r="1286" spans="1:19" ht="15" customHeight="1">
      <c r="A1286" s="9"/>
      <c r="B1286" s="9"/>
      <c r="C1286" s="1">
        <f>Tabela2[[#This Row],[Data
Pedido]]-Tabela2[[#This Row],[Data Última Aprovação RC]]</f>
        <v>0</v>
      </c>
      <c r="J1286" s="1" t="str">
        <f t="shared" ca="1" si="29"/>
        <v/>
      </c>
      <c r="K1286" s="11">
        <f>Tabela2[[#This Row],[SLA
Padrão]]-Tabela2[[#This Row],[SLA Atendimento]]</f>
        <v>0</v>
      </c>
      <c r="L1286" s="11"/>
      <c r="O1286" s="1" t="s">
        <v>30</v>
      </c>
      <c r="P1286" s="2">
        <f>Tabela2[[#This Row],[Proposta
 Inicial]]-Tabela2[[#This Row],[Proposta
 Negociada]]</f>
        <v>0</v>
      </c>
      <c r="Q1286" s="4" t="e">
        <f>Tabela2[[#This Row],[Proposta
 Negociada]]/Tabela2[[#This Row],[Proposta
 Inicial]]-1</f>
        <v>#DIV/0!</v>
      </c>
      <c r="S1286"/>
    </row>
    <row r="1287" spans="1:19" ht="15" customHeight="1">
      <c r="A1287" s="9"/>
      <c r="B1287" s="9"/>
      <c r="C1287" s="1">
        <f>Tabela2[[#This Row],[Data
Pedido]]-Tabela2[[#This Row],[Data Última Aprovação RC]]</f>
        <v>0</v>
      </c>
      <c r="J1287" s="1" t="str">
        <f t="shared" ca="1" si="29"/>
        <v/>
      </c>
      <c r="K1287" s="11">
        <f>Tabela2[[#This Row],[SLA
Padrão]]-Tabela2[[#This Row],[SLA Atendimento]]</f>
        <v>0</v>
      </c>
      <c r="L1287" s="11"/>
      <c r="O1287" s="1" t="s">
        <v>30</v>
      </c>
      <c r="P1287" s="2">
        <f>Tabela2[[#This Row],[Proposta
 Inicial]]-Tabela2[[#This Row],[Proposta
 Negociada]]</f>
        <v>0</v>
      </c>
      <c r="Q1287" s="4" t="e">
        <f>Tabela2[[#This Row],[Proposta
 Negociada]]/Tabela2[[#This Row],[Proposta
 Inicial]]-1</f>
        <v>#DIV/0!</v>
      </c>
      <c r="S1287"/>
    </row>
    <row r="1288" spans="1:19" ht="15" customHeight="1">
      <c r="A1288" s="9"/>
      <c r="B1288" s="9"/>
      <c r="C1288" s="1">
        <f>Tabela2[[#This Row],[Data
Pedido]]-Tabela2[[#This Row],[Data Última Aprovação RC]]</f>
        <v>0</v>
      </c>
      <c r="J1288" s="1" t="str">
        <f t="shared" ca="1" si="29"/>
        <v/>
      </c>
      <c r="K1288" s="11">
        <f>Tabela2[[#This Row],[SLA
Padrão]]-Tabela2[[#This Row],[SLA Atendimento]]</f>
        <v>0</v>
      </c>
      <c r="L1288" s="11"/>
      <c r="O1288" s="1" t="s">
        <v>30</v>
      </c>
      <c r="P1288" s="2">
        <f>Tabela2[[#This Row],[Proposta
 Inicial]]-Tabela2[[#This Row],[Proposta
 Negociada]]</f>
        <v>0</v>
      </c>
      <c r="Q1288" s="4" t="e">
        <f>Tabela2[[#This Row],[Proposta
 Negociada]]/Tabela2[[#This Row],[Proposta
 Inicial]]-1</f>
        <v>#DIV/0!</v>
      </c>
      <c r="S1288"/>
    </row>
    <row r="1289" spans="1:19" ht="15" customHeight="1">
      <c r="A1289" s="9"/>
      <c r="B1289" s="9"/>
      <c r="C1289" s="1">
        <f>Tabela2[[#This Row],[Data
Pedido]]-Tabela2[[#This Row],[Data Última Aprovação RC]]</f>
        <v>0</v>
      </c>
      <c r="J1289" s="1" t="str">
        <f t="shared" ca="1" si="29"/>
        <v/>
      </c>
      <c r="K1289" s="11">
        <f>Tabela2[[#This Row],[SLA
Padrão]]-Tabela2[[#This Row],[SLA Atendimento]]</f>
        <v>0</v>
      </c>
      <c r="L1289" s="11"/>
      <c r="O1289" s="1" t="s">
        <v>30</v>
      </c>
      <c r="P1289" s="2">
        <f>Tabela2[[#This Row],[Proposta
 Inicial]]-Tabela2[[#This Row],[Proposta
 Negociada]]</f>
        <v>0</v>
      </c>
      <c r="Q1289" s="4" t="e">
        <f>Tabela2[[#This Row],[Proposta
 Negociada]]/Tabela2[[#This Row],[Proposta
 Inicial]]-1</f>
        <v>#DIV/0!</v>
      </c>
      <c r="S1289"/>
    </row>
    <row r="1290" spans="1:19" ht="15" customHeight="1">
      <c r="A1290" s="9"/>
      <c r="B1290" s="9"/>
      <c r="C1290" s="1">
        <f>Tabela2[[#This Row],[Data
Pedido]]-Tabela2[[#This Row],[Data Última Aprovação RC]]</f>
        <v>0</v>
      </c>
      <c r="J1290" s="1" t="str">
        <f t="shared" ca="1" si="29"/>
        <v/>
      </c>
      <c r="K1290" s="11">
        <f>Tabela2[[#This Row],[SLA
Padrão]]-Tabela2[[#This Row],[SLA Atendimento]]</f>
        <v>0</v>
      </c>
      <c r="L1290" s="11"/>
      <c r="O1290" s="1" t="s">
        <v>30</v>
      </c>
      <c r="P1290" s="2">
        <f>Tabela2[[#This Row],[Proposta
 Inicial]]-Tabela2[[#This Row],[Proposta
 Negociada]]</f>
        <v>0</v>
      </c>
      <c r="Q1290" s="4" t="e">
        <f>Tabela2[[#This Row],[Proposta
 Negociada]]/Tabela2[[#This Row],[Proposta
 Inicial]]-1</f>
        <v>#DIV/0!</v>
      </c>
      <c r="S1290"/>
    </row>
    <row r="1291" spans="1:19" ht="15" customHeight="1">
      <c r="A1291" s="9"/>
      <c r="B1291" s="9"/>
      <c r="C1291" s="1">
        <f>Tabela2[[#This Row],[Data
Pedido]]-Tabela2[[#This Row],[Data Última Aprovação RC]]</f>
        <v>0</v>
      </c>
      <c r="J1291" s="1" t="str">
        <f t="shared" ca="1" si="29"/>
        <v/>
      </c>
      <c r="K1291" s="11">
        <f>Tabela2[[#This Row],[SLA
Padrão]]-Tabela2[[#This Row],[SLA Atendimento]]</f>
        <v>0</v>
      </c>
      <c r="L1291" s="11"/>
      <c r="O1291" s="1" t="s">
        <v>30</v>
      </c>
      <c r="P1291" s="2">
        <f>Tabela2[[#This Row],[Proposta
 Inicial]]-Tabela2[[#This Row],[Proposta
 Negociada]]</f>
        <v>0</v>
      </c>
      <c r="Q1291" s="4" t="e">
        <f>Tabela2[[#This Row],[Proposta
 Negociada]]/Tabela2[[#This Row],[Proposta
 Inicial]]-1</f>
        <v>#DIV/0!</v>
      </c>
      <c r="S1291"/>
    </row>
    <row r="1292" spans="1:19" ht="15" customHeight="1">
      <c r="A1292" s="9"/>
      <c r="B1292" s="9"/>
      <c r="C1292" s="1">
        <f>Tabela2[[#This Row],[Data
Pedido]]-Tabela2[[#This Row],[Data Última Aprovação RC]]</f>
        <v>0</v>
      </c>
      <c r="J1292" s="1" t="str">
        <f t="shared" ca="1" si="29"/>
        <v/>
      </c>
      <c r="K1292" s="11">
        <f>Tabela2[[#This Row],[SLA
Padrão]]-Tabela2[[#This Row],[SLA Atendimento]]</f>
        <v>0</v>
      </c>
      <c r="L1292" s="11"/>
      <c r="O1292" s="1" t="s">
        <v>30</v>
      </c>
      <c r="P1292" s="2">
        <f>Tabela2[[#This Row],[Proposta
 Inicial]]-Tabela2[[#This Row],[Proposta
 Negociada]]</f>
        <v>0</v>
      </c>
      <c r="Q1292" s="4" t="e">
        <f>Tabela2[[#This Row],[Proposta
 Negociada]]/Tabela2[[#This Row],[Proposta
 Inicial]]-1</f>
        <v>#DIV/0!</v>
      </c>
      <c r="S1292"/>
    </row>
    <row r="1293" spans="1:19" ht="15" customHeight="1">
      <c r="A1293" s="9"/>
      <c r="B1293" s="9"/>
      <c r="C1293" s="1">
        <f>Tabela2[[#This Row],[Data
Pedido]]-Tabela2[[#This Row],[Data Última Aprovação RC]]</f>
        <v>0</v>
      </c>
      <c r="J1293" s="1" t="str">
        <f t="shared" ca="1" si="29"/>
        <v/>
      </c>
      <c r="K1293" s="11">
        <f>Tabela2[[#This Row],[SLA
Padrão]]-Tabela2[[#This Row],[SLA Atendimento]]</f>
        <v>0</v>
      </c>
      <c r="L1293" s="11"/>
      <c r="O1293" s="1" t="s">
        <v>30</v>
      </c>
      <c r="P1293" s="2">
        <f>Tabela2[[#This Row],[Proposta
 Inicial]]-Tabela2[[#This Row],[Proposta
 Negociada]]</f>
        <v>0</v>
      </c>
      <c r="Q1293" s="4" t="e">
        <f>Tabela2[[#This Row],[Proposta
 Negociada]]/Tabela2[[#This Row],[Proposta
 Inicial]]-1</f>
        <v>#DIV/0!</v>
      </c>
      <c r="S1293"/>
    </row>
    <row r="1294" spans="1:19" ht="15" customHeight="1">
      <c r="A1294" s="9"/>
      <c r="B1294" s="9"/>
      <c r="C1294" s="1">
        <f>Tabela2[[#This Row],[Data
Pedido]]-Tabela2[[#This Row],[Data Última Aprovação RC]]</f>
        <v>0</v>
      </c>
      <c r="J1294" s="1" t="str">
        <f t="shared" ca="1" si="29"/>
        <v/>
      </c>
      <c r="K1294" s="11">
        <f>Tabela2[[#This Row],[SLA
Padrão]]-Tabela2[[#This Row],[SLA Atendimento]]</f>
        <v>0</v>
      </c>
      <c r="L1294" s="11"/>
      <c r="O1294" s="1" t="s">
        <v>30</v>
      </c>
      <c r="P1294" s="2">
        <f>Tabela2[[#This Row],[Proposta
 Inicial]]-Tabela2[[#This Row],[Proposta
 Negociada]]</f>
        <v>0</v>
      </c>
      <c r="Q1294" s="4" t="e">
        <f>Tabela2[[#This Row],[Proposta
 Negociada]]/Tabela2[[#This Row],[Proposta
 Inicial]]-1</f>
        <v>#DIV/0!</v>
      </c>
      <c r="S1294"/>
    </row>
    <row r="1295" spans="1:19" ht="15" customHeight="1">
      <c r="A1295" s="9"/>
      <c r="B1295" s="9"/>
      <c r="C1295" s="1">
        <f>Tabela2[[#This Row],[Data
Pedido]]-Tabela2[[#This Row],[Data Última Aprovação RC]]</f>
        <v>0</v>
      </c>
      <c r="J1295" s="1" t="str">
        <f t="shared" ca="1" si="29"/>
        <v/>
      </c>
      <c r="K1295" s="11">
        <f>Tabela2[[#This Row],[SLA
Padrão]]-Tabela2[[#This Row],[SLA Atendimento]]</f>
        <v>0</v>
      </c>
      <c r="L1295" s="11"/>
      <c r="O1295" s="1" t="s">
        <v>30</v>
      </c>
      <c r="P1295" s="2">
        <f>Tabela2[[#This Row],[Proposta
 Inicial]]-Tabela2[[#This Row],[Proposta
 Negociada]]</f>
        <v>0</v>
      </c>
      <c r="Q1295" s="4" t="e">
        <f>Tabela2[[#This Row],[Proposta
 Negociada]]/Tabela2[[#This Row],[Proposta
 Inicial]]-1</f>
        <v>#DIV/0!</v>
      </c>
      <c r="S1295"/>
    </row>
    <row r="1296" spans="1:19" ht="15" customHeight="1">
      <c r="A1296" s="9"/>
      <c r="B1296" s="9"/>
      <c r="C1296" s="1">
        <f>Tabela2[[#This Row],[Data
Pedido]]-Tabela2[[#This Row],[Data Última Aprovação RC]]</f>
        <v>0</v>
      </c>
      <c r="J1296" s="1" t="str">
        <f t="shared" ca="1" si="29"/>
        <v/>
      </c>
      <c r="K1296" s="11">
        <f>Tabela2[[#This Row],[SLA
Padrão]]-Tabela2[[#This Row],[SLA Atendimento]]</f>
        <v>0</v>
      </c>
      <c r="L1296" s="11"/>
      <c r="O1296" s="1" t="s">
        <v>30</v>
      </c>
      <c r="P1296" s="2">
        <f>Tabela2[[#This Row],[Proposta
 Inicial]]-Tabela2[[#This Row],[Proposta
 Negociada]]</f>
        <v>0</v>
      </c>
      <c r="Q1296" s="4" t="e">
        <f>Tabela2[[#This Row],[Proposta
 Negociada]]/Tabela2[[#This Row],[Proposta
 Inicial]]-1</f>
        <v>#DIV/0!</v>
      </c>
      <c r="S1296"/>
    </row>
    <row r="1297" spans="1:19" ht="15" customHeight="1">
      <c r="A1297" s="9"/>
      <c r="B1297" s="9"/>
      <c r="C1297" s="1">
        <f>Tabela2[[#This Row],[Data
Pedido]]-Tabela2[[#This Row],[Data Última Aprovação RC]]</f>
        <v>0</v>
      </c>
      <c r="J1297" s="1" t="str">
        <f t="shared" ca="1" si="29"/>
        <v/>
      </c>
      <c r="K1297" s="11">
        <f>Tabela2[[#This Row],[SLA
Padrão]]-Tabela2[[#This Row],[SLA Atendimento]]</f>
        <v>0</v>
      </c>
      <c r="L1297" s="11"/>
      <c r="O1297" s="1" t="s">
        <v>30</v>
      </c>
      <c r="P1297" s="2">
        <f>Tabela2[[#This Row],[Proposta
 Inicial]]-Tabela2[[#This Row],[Proposta
 Negociada]]</f>
        <v>0</v>
      </c>
      <c r="Q1297" s="4" t="e">
        <f>Tabela2[[#This Row],[Proposta
 Negociada]]/Tabela2[[#This Row],[Proposta
 Inicial]]-1</f>
        <v>#DIV/0!</v>
      </c>
      <c r="S1297"/>
    </row>
    <row r="1298" spans="1:19" ht="15" customHeight="1">
      <c r="A1298" s="9"/>
      <c r="B1298" s="9"/>
      <c r="C1298" s="1">
        <f>Tabela2[[#This Row],[Data
Pedido]]-Tabela2[[#This Row],[Data Última Aprovação RC]]</f>
        <v>0</v>
      </c>
      <c r="J1298" s="1" t="str">
        <f t="shared" ca="1" si="29"/>
        <v/>
      </c>
      <c r="K1298" s="11">
        <f>Tabela2[[#This Row],[SLA
Padrão]]-Tabela2[[#This Row],[SLA Atendimento]]</f>
        <v>0</v>
      </c>
      <c r="L1298" s="11"/>
      <c r="O1298" s="1" t="s">
        <v>30</v>
      </c>
      <c r="P1298" s="2">
        <f>Tabela2[[#This Row],[Proposta
 Inicial]]-Tabela2[[#This Row],[Proposta
 Negociada]]</f>
        <v>0</v>
      </c>
      <c r="Q1298" s="4" t="e">
        <f>Tabela2[[#This Row],[Proposta
 Negociada]]/Tabela2[[#This Row],[Proposta
 Inicial]]-1</f>
        <v>#DIV/0!</v>
      </c>
      <c r="S1298"/>
    </row>
    <row r="1299" spans="1:19" ht="15" customHeight="1">
      <c r="A1299" s="9"/>
      <c r="B1299" s="9"/>
      <c r="C1299" s="1">
        <f>Tabela2[[#This Row],[Data
Pedido]]-Tabela2[[#This Row],[Data Última Aprovação RC]]</f>
        <v>0</v>
      </c>
      <c r="J1299" s="1" t="str">
        <f t="shared" ca="1" si="29"/>
        <v/>
      </c>
      <c r="K1299" s="11">
        <f>Tabela2[[#This Row],[SLA
Padrão]]-Tabela2[[#This Row],[SLA Atendimento]]</f>
        <v>0</v>
      </c>
      <c r="L1299" s="11"/>
      <c r="O1299" s="1" t="s">
        <v>30</v>
      </c>
      <c r="P1299" s="2">
        <f>Tabela2[[#This Row],[Proposta
 Inicial]]-Tabela2[[#This Row],[Proposta
 Negociada]]</f>
        <v>0</v>
      </c>
      <c r="Q1299" s="4" t="e">
        <f>Tabela2[[#This Row],[Proposta
 Negociada]]/Tabela2[[#This Row],[Proposta
 Inicial]]-1</f>
        <v>#DIV/0!</v>
      </c>
      <c r="S1299"/>
    </row>
    <row r="1300" spans="1:19" ht="15" customHeight="1">
      <c r="A1300" s="9"/>
      <c r="B1300" s="9"/>
      <c r="C1300" s="1">
        <f>Tabela2[[#This Row],[Data
Pedido]]-Tabela2[[#This Row],[Data Última Aprovação RC]]</f>
        <v>0</v>
      </c>
      <c r="J1300" s="1" t="str">
        <f t="shared" ca="1" si="29"/>
        <v/>
      </c>
      <c r="K1300" s="11">
        <f>Tabela2[[#This Row],[SLA
Padrão]]-Tabela2[[#This Row],[SLA Atendimento]]</f>
        <v>0</v>
      </c>
      <c r="L1300" s="11"/>
      <c r="O1300" s="1" t="s">
        <v>30</v>
      </c>
      <c r="P1300" s="2">
        <f>Tabela2[[#This Row],[Proposta
 Inicial]]-Tabela2[[#This Row],[Proposta
 Negociada]]</f>
        <v>0</v>
      </c>
      <c r="Q1300" s="4" t="e">
        <f>Tabela2[[#This Row],[Proposta
 Negociada]]/Tabela2[[#This Row],[Proposta
 Inicial]]-1</f>
        <v>#DIV/0!</v>
      </c>
      <c r="S1300"/>
    </row>
    <row r="1301" spans="1:19" ht="15" customHeight="1">
      <c r="A1301" s="9"/>
      <c r="B1301" s="9"/>
      <c r="C1301" s="1">
        <f>Tabela2[[#This Row],[Data
Pedido]]-Tabela2[[#This Row],[Data Última Aprovação RC]]</f>
        <v>0</v>
      </c>
      <c r="J1301" s="1" t="str">
        <f t="shared" ca="1" si="29"/>
        <v/>
      </c>
      <c r="K1301" s="11">
        <f>Tabela2[[#This Row],[SLA
Padrão]]-Tabela2[[#This Row],[SLA Atendimento]]</f>
        <v>0</v>
      </c>
      <c r="L1301" s="11"/>
      <c r="O1301" s="1" t="s">
        <v>30</v>
      </c>
      <c r="P1301" s="2">
        <f>Tabela2[[#This Row],[Proposta
 Inicial]]-Tabela2[[#This Row],[Proposta
 Negociada]]</f>
        <v>0</v>
      </c>
      <c r="Q1301" s="4" t="e">
        <f>Tabela2[[#This Row],[Proposta
 Negociada]]/Tabela2[[#This Row],[Proposta
 Inicial]]-1</f>
        <v>#DIV/0!</v>
      </c>
      <c r="S1301"/>
    </row>
    <row r="1302" spans="1:19" ht="15" customHeight="1">
      <c r="A1302" s="9"/>
      <c r="B1302" s="9"/>
      <c r="C1302" s="1">
        <f>Tabela2[[#This Row],[Data
Pedido]]-Tabela2[[#This Row],[Data Última Aprovação RC]]</f>
        <v>0</v>
      </c>
      <c r="J1302" s="1" t="str">
        <f t="shared" ca="1" si="29"/>
        <v/>
      </c>
      <c r="K1302" s="11">
        <f>Tabela2[[#This Row],[SLA
Padrão]]-Tabela2[[#This Row],[SLA Atendimento]]</f>
        <v>0</v>
      </c>
      <c r="L1302" s="11"/>
      <c r="O1302" s="1" t="s">
        <v>30</v>
      </c>
      <c r="P1302" s="2">
        <f>Tabela2[[#This Row],[Proposta
 Inicial]]-Tabela2[[#This Row],[Proposta
 Negociada]]</f>
        <v>0</v>
      </c>
      <c r="Q1302" s="4" t="e">
        <f>Tabela2[[#This Row],[Proposta
 Negociada]]/Tabela2[[#This Row],[Proposta
 Inicial]]-1</f>
        <v>#DIV/0!</v>
      </c>
      <c r="S1302"/>
    </row>
    <row r="1303" spans="1:19" ht="15" customHeight="1">
      <c r="A1303" s="9"/>
      <c r="B1303" s="9"/>
      <c r="C1303" s="1">
        <f>Tabela2[[#This Row],[Data
Pedido]]-Tabela2[[#This Row],[Data Última Aprovação RC]]</f>
        <v>0</v>
      </c>
      <c r="J1303" s="1" t="str">
        <f t="shared" ca="1" si="29"/>
        <v/>
      </c>
      <c r="K1303" s="11">
        <f>Tabela2[[#This Row],[SLA
Padrão]]-Tabela2[[#This Row],[SLA Atendimento]]</f>
        <v>0</v>
      </c>
      <c r="L1303" s="11"/>
      <c r="O1303" s="1" t="s">
        <v>30</v>
      </c>
      <c r="P1303" s="2">
        <f>Tabela2[[#This Row],[Proposta
 Inicial]]-Tabela2[[#This Row],[Proposta
 Negociada]]</f>
        <v>0</v>
      </c>
      <c r="Q1303" s="4" t="e">
        <f>Tabela2[[#This Row],[Proposta
 Negociada]]/Tabela2[[#This Row],[Proposta
 Inicial]]-1</f>
        <v>#DIV/0!</v>
      </c>
      <c r="S1303"/>
    </row>
    <row r="1304" spans="1:19" ht="15" customHeight="1">
      <c r="A1304" s="9"/>
      <c r="B1304" s="9"/>
      <c r="C1304" s="1">
        <f>Tabela2[[#This Row],[Data
Pedido]]-Tabela2[[#This Row],[Data Última Aprovação RC]]</f>
        <v>0</v>
      </c>
      <c r="J1304" s="1" t="str">
        <f t="shared" ca="1" si="29"/>
        <v/>
      </c>
      <c r="K1304" s="11">
        <f>Tabela2[[#This Row],[SLA
Padrão]]-Tabela2[[#This Row],[SLA Atendimento]]</f>
        <v>0</v>
      </c>
      <c r="L1304" s="11"/>
      <c r="O1304" s="1" t="s">
        <v>30</v>
      </c>
      <c r="P1304" s="2">
        <f>Tabela2[[#This Row],[Proposta
 Inicial]]-Tabela2[[#This Row],[Proposta
 Negociada]]</f>
        <v>0</v>
      </c>
      <c r="Q1304" s="4" t="e">
        <f>Tabela2[[#This Row],[Proposta
 Negociada]]/Tabela2[[#This Row],[Proposta
 Inicial]]-1</f>
        <v>#DIV/0!</v>
      </c>
      <c r="S1304"/>
    </row>
    <row r="1305" spans="1:19" ht="15" customHeight="1">
      <c r="A1305" s="9"/>
      <c r="B1305" s="9"/>
      <c r="C1305" s="1">
        <f>Tabela2[[#This Row],[Data
Pedido]]-Tabela2[[#This Row],[Data Última Aprovação RC]]</f>
        <v>0</v>
      </c>
      <c r="J1305" s="1" t="str">
        <f t="shared" ca="1" si="29"/>
        <v/>
      </c>
      <c r="K1305" s="11">
        <f>Tabela2[[#This Row],[SLA
Padrão]]-Tabela2[[#This Row],[SLA Atendimento]]</f>
        <v>0</v>
      </c>
      <c r="L1305" s="11"/>
      <c r="O1305" s="1" t="s">
        <v>30</v>
      </c>
      <c r="P1305" s="2">
        <f>Tabela2[[#This Row],[Proposta
 Inicial]]-Tabela2[[#This Row],[Proposta
 Negociada]]</f>
        <v>0</v>
      </c>
      <c r="Q1305" s="4" t="e">
        <f>Tabela2[[#This Row],[Proposta
 Negociada]]/Tabela2[[#This Row],[Proposta
 Inicial]]-1</f>
        <v>#DIV/0!</v>
      </c>
      <c r="S1305"/>
    </row>
    <row r="1306" spans="1:19" ht="15" customHeight="1">
      <c r="A1306" s="9"/>
      <c r="B1306" s="9"/>
      <c r="C1306" s="1">
        <f>Tabela2[[#This Row],[Data
Pedido]]-Tabela2[[#This Row],[Data Última Aprovação RC]]</f>
        <v>0</v>
      </c>
      <c r="J1306" s="1" t="str">
        <f t="shared" ca="1" si="29"/>
        <v/>
      </c>
      <c r="K1306" s="11">
        <f>Tabela2[[#This Row],[SLA
Padrão]]-Tabela2[[#This Row],[SLA Atendimento]]</f>
        <v>0</v>
      </c>
      <c r="L1306" s="11"/>
      <c r="O1306" s="1" t="s">
        <v>30</v>
      </c>
      <c r="P1306" s="2">
        <f>Tabela2[[#This Row],[Proposta
 Inicial]]-Tabela2[[#This Row],[Proposta
 Negociada]]</f>
        <v>0</v>
      </c>
      <c r="Q1306" s="4" t="e">
        <f>Tabela2[[#This Row],[Proposta
 Negociada]]/Tabela2[[#This Row],[Proposta
 Inicial]]-1</f>
        <v>#DIV/0!</v>
      </c>
      <c r="S1306"/>
    </row>
    <row r="1307" spans="1:19" ht="15" customHeight="1">
      <c r="A1307" s="9"/>
      <c r="B1307" s="9"/>
      <c r="C1307" s="1">
        <f>Tabela2[[#This Row],[Data
Pedido]]-Tabela2[[#This Row],[Data Última Aprovação RC]]</f>
        <v>0</v>
      </c>
      <c r="J1307" s="1" t="str">
        <f t="shared" ca="1" si="29"/>
        <v/>
      </c>
      <c r="K1307" s="11">
        <f>Tabela2[[#This Row],[SLA
Padrão]]-Tabela2[[#This Row],[SLA Atendimento]]</f>
        <v>0</v>
      </c>
      <c r="L1307" s="11"/>
      <c r="O1307" s="1" t="s">
        <v>30</v>
      </c>
      <c r="P1307" s="2">
        <f>Tabela2[[#This Row],[Proposta
 Inicial]]-Tabela2[[#This Row],[Proposta
 Negociada]]</f>
        <v>0</v>
      </c>
      <c r="Q1307" s="4" t="e">
        <f>Tabela2[[#This Row],[Proposta
 Negociada]]/Tabela2[[#This Row],[Proposta
 Inicial]]-1</f>
        <v>#DIV/0!</v>
      </c>
      <c r="S1307"/>
    </row>
    <row r="1308" spans="1:19" ht="15" customHeight="1">
      <c r="A1308" s="9"/>
      <c r="B1308" s="9"/>
      <c r="C1308" s="1">
        <f>Tabela2[[#This Row],[Data
Pedido]]-Tabela2[[#This Row],[Data Última Aprovação RC]]</f>
        <v>0</v>
      </c>
      <c r="J1308" s="1" t="str">
        <f t="shared" ca="1" si="29"/>
        <v/>
      </c>
      <c r="K1308" s="11">
        <f>Tabela2[[#This Row],[SLA
Padrão]]-Tabela2[[#This Row],[SLA Atendimento]]</f>
        <v>0</v>
      </c>
      <c r="L1308" s="11"/>
      <c r="O1308" s="1" t="s">
        <v>30</v>
      </c>
      <c r="P1308" s="2">
        <f>Tabela2[[#This Row],[Proposta
 Inicial]]-Tabela2[[#This Row],[Proposta
 Negociada]]</f>
        <v>0</v>
      </c>
      <c r="Q1308" s="4" t="e">
        <f>Tabela2[[#This Row],[Proposta
 Negociada]]/Tabela2[[#This Row],[Proposta
 Inicial]]-1</f>
        <v>#DIV/0!</v>
      </c>
      <c r="S1308"/>
    </row>
    <row r="1309" spans="1:19" ht="15" customHeight="1">
      <c r="A1309" s="9"/>
      <c r="B1309" s="9"/>
      <c r="C1309" s="1">
        <f>Tabela2[[#This Row],[Data
Pedido]]-Tabela2[[#This Row],[Data Última Aprovação RC]]</f>
        <v>0</v>
      </c>
      <c r="J1309" s="1" t="str">
        <f t="shared" ca="1" si="29"/>
        <v/>
      </c>
      <c r="K1309" s="11">
        <f>Tabela2[[#This Row],[SLA
Padrão]]-Tabela2[[#This Row],[SLA Atendimento]]</f>
        <v>0</v>
      </c>
      <c r="L1309" s="11"/>
      <c r="O1309" s="1" t="s">
        <v>30</v>
      </c>
      <c r="P1309" s="2">
        <f>Tabela2[[#This Row],[Proposta
 Inicial]]-Tabela2[[#This Row],[Proposta
 Negociada]]</f>
        <v>0</v>
      </c>
      <c r="Q1309" s="4" t="e">
        <f>Tabela2[[#This Row],[Proposta
 Negociada]]/Tabela2[[#This Row],[Proposta
 Inicial]]-1</f>
        <v>#DIV/0!</v>
      </c>
      <c r="S1309"/>
    </row>
    <row r="1310" spans="1:19" ht="15" customHeight="1">
      <c r="A1310" s="9"/>
      <c r="B1310" s="9"/>
      <c r="C1310" s="1">
        <f>Tabela2[[#This Row],[Data
Pedido]]-Tabela2[[#This Row],[Data Última Aprovação RC]]</f>
        <v>0</v>
      </c>
      <c r="J1310" s="1" t="str">
        <f t="shared" ca="1" si="29"/>
        <v/>
      </c>
      <c r="K1310" s="11">
        <f>Tabela2[[#This Row],[SLA
Padrão]]-Tabela2[[#This Row],[SLA Atendimento]]</f>
        <v>0</v>
      </c>
      <c r="L1310" s="11"/>
      <c r="O1310" s="1" t="s">
        <v>30</v>
      </c>
      <c r="P1310" s="2">
        <f>Tabela2[[#This Row],[Proposta
 Inicial]]-Tabela2[[#This Row],[Proposta
 Negociada]]</f>
        <v>0</v>
      </c>
      <c r="Q1310" s="4" t="e">
        <f>Tabela2[[#This Row],[Proposta
 Negociada]]/Tabela2[[#This Row],[Proposta
 Inicial]]-1</f>
        <v>#DIV/0!</v>
      </c>
      <c r="S1310"/>
    </row>
    <row r="1311" spans="1:19" ht="15" customHeight="1">
      <c r="A1311" s="9"/>
      <c r="B1311" s="9"/>
      <c r="C1311" s="1">
        <f>Tabela2[[#This Row],[Data
Pedido]]-Tabela2[[#This Row],[Data Última Aprovação RC]]</f>
        <v>0</v>
      </c>
      <c r="J1311" s="1" t="str">
        <f t="shared" ca="1" si="29"/>
        <v/>
      </c>
      <c r="K1311" s="11">
        <f>Tabela2[[#This Row],[SLA
Padrão]]-Tabela2[[#This Row],[SLA Atendimento]]</f>
        <v>0</v>
      </c>
      <c r="L1311" s="11"/>
      <c r="O1311" s="1" t="s">
        <v>30</v>
      </c>
      <c r="P1311" s="2">
        <f>Tabela2[[#This Row],[Proposta
 Inicial]]-Tabela2[[#This Row],[Proposta
 Negociada]]</f>
        <v>0</v>
      </c>
      <c r="Q1311" s="4" t="e">
        <f>Tabela2[[#This Row],[Proposta
 Negociada]]/Tabela2[[#This Row],[Proposta
 Inicial]]-1</f>
        <v>#DIV/0!</v>
      </c>
      <c r="S1311"/>
    </row>
    <row r="1312" spans="1:19" ht="15" customHeight="1">
      <c r="A1312" s="9"/>
      <c r="B1312" s="9"/>
      <c r="C1312" s="1">
        <f>Tabela2[[#This Row],[Data
Pedido]]-Tabela2[[#This Row],[Data Última Aprovação RC]]</f>
        <v>0</v>
      </c>
      <c r="J1312" s="1" t="str">
        <f t="shared" ca="1" si="29"/>
        <v/>
      </c>
      <c r="K1312" s="11">
        <f>Tabela2[[#This Row],[SLA
Padrão]]-Tabela2[[#This Row],[SLA Atendimento]]</f>
        <v>0</v>
      </c>
      <c r="L1312" s="11"/>
      <c r="O1312" s="1" t="s">
        <v>30</v>
      </c>
      <c r="P1312" s="2">
        <f>Tabela2[[#This Row],[Proposta
 Inicial]]-Tabela2[[#This Row],[Proposta
 Negociada]]</f>
        <v>0</v>
      </c>
      <c r="Q1312" s="4" t="e">
        <f>Tabela2[[#This Row],[Proposta
 Negociada]]/Tabela2[[#This Row],[Proposta
 Inicial]]-1</f>
        <v>#DIV/0!</v>
      </c>
      <c r="S1312"/>
    </row>
    <row r="1313" spans="1:19" ht="15" customHeight="1">
      <c r="A1313" s="9"/>
      <c r="B1313" s="9"/>
      <c r="C1313" s="1">
        <f>Tabela2[[#This Row],[Data
Pedido]]-Tabela2[[#This Row],[Data Última Aprovação RC]]</f>
        <v>0</v>
      </c>
      <c r="J1313" s="1" t="str">
        <f t="shared" ca="1" si="29"/>
        <v/>
      </c>
      <c r="K1313" s="11">
        <f>Tabela2[[#This Row],[SLA
Padrão]]-Tabela2[[#This Row],[SLA Atendimento]]</f>
        <v>0</v>
      </c>
      <c r="L1313" s="11"/>
      <c r="O1313" s="1" t="s">
        <v>30</v>
      </c>
      <c r="P1313" s="2">
        <f>Tabela2[[#This Row],[Proposta
 Inicial]]-Tabela2[[#This Row],[Proposta
 Negociada]]</f>
        <v>0</v>
      </c>
      <c r="Q1313" s="4" t="e">
        <f>Tabela2[[#This Row],[Proposta
 Negociada]]/Tabela2[[#This Row],[Proposta
 Inicial]]-1</f>
        <v>#DIV/0!</v>
      </c>
      <c r="S1313"/>
    </row>
    <row r="1314" spans="1:19" ht="15" customHeight="1">
      <c r="A1314" s="9"/>
      <c r="B1314" s="9"/>
      <c r="C1314" s="1">
        <f>Tabela2[[#This Row],[Data
Pedido]]-Tabela2[[#This Row],[Data Última Aprovação RC]]</f>
        <v>0</v>
      </c>
      <c r="J1314" s="1" t="str">
        <f t="shared" ca="1" si="29"/>
        <v/>
      </c>
      <c r="K1314" s="11">
        <f>Tabela2[[#This Row],[SLA
Padrão]]-Tabela2[[#This Row],[SLA Atendimento]]</f>
        <v>0</v>
      </c>
      <c r="L1314" s="11"/>
      <c r="O1314" s="1" t="s">
        <v>30</v>
      </c>
      <c r="P1314" s="2">
        <f>Tabela2[[#This Row],[Proposta
 Inicial]]-Tabela2[[#This Row],[Proposta
 Negociada]]</f>
        <v>0</v>
      </c>
      <c r="Q1314" s="4" t="e">
        <f>Tabela2[[#This Row],[Proposta
 Negociada]]/Tabela2[[#This Row],[Proposta
 Inicial]]-1</f>
        <v>#DIV/0!</v>
      </c>
      <c r="S1314"/>
    </row>
    <row r="1315" spans="1:19" ht="15" customHeight="1">
      <c r="A1315" s="9"/>
      <c r="B1315" s="9"/>
      <c r="C1315" s="1">
        <f>Tabela2[[#This Row],[Data
Pedido]]-Tabela2[[#This Row],[Data Última Aprovação RC]]</f>
        <v>0</v>
      </c>
      <c r="J1315" s="1" t="str">
        <f t="shared" ca="1" si="29"/>
        <v/>
      </c>
      <c r="K1315" s="11">
        <f>Tabela2[[#This Row],[SLA
Padrão]]-Tabela2[[#This Row],[SLA Atendimento]]</f>
        <v>0</v>
      </c>
      <c r="L1315" s="11"/>
      <c r="O1315" s="1" t="s">
        <v>30</v>
      </c>
      <c r="P1315" s="2">
        <f>Tabela2[[#This Row],[Proposta
 Inicial]]-Tabela2[[#This Row],[Proposta
 Negociada]]</f>
        <v>0</v>
      </c>
      <c r="Q1315" s="4" t="e">
        <f>Tabela2[[#This Row],[Proposta
 Negociada]]/Tabela2[[#This Row],[Proposta
 Inicial]]-1</f>
        <v>#DIV/0!</v>
      </c>
      <c r="S1315"/>
    </row>
    <row r="1316" spans="1:19" ht="15" customHeight="1">
      <c r="A1316" s="9"/>
      <c r="B1316" s="9"/>
      <c r="C1316" s="1">
        <f>Tabela2[[#This Row],[Data
Pedido]]-Tabela2[[#This Row],[Data Última Aprovação RC]]</f>
        <v>0</v>
      </c>
      <c r="J1316" s="1" t="str">
        <f t="shared" ca="1" si="29"/>
        <v/>
      </c>
      <c r="K1316" s="11">
        <f>Tabela2[[#This Row],[SLA
Padrão]]-Tabela2[[#This Row],[SLA Atendimento]]</f>
        <v>0</v>
      </c>
      <c r="L1316" s="11"/>
      <c r="O1316" s="1" t="s">
        <v>30</v>
      </c>
      <c r="P1316" s="2">
        <f>Tabela2[[#This Row],[Proposta
 Inicial]]-Tabela2[[#This Row],[Proposta
 Negociada]]</f>
        <v>0</v>
      </c>
      <c r="Q1316" s="4" t="e">
        <f>Tabela2[[#This Row],[Proposta
 Negociada]]/Tabela2[[#This Row],[Proposta
 Inicial]]-1</f>
        <v>#DIV/0!</v>
      </c>
      <c r="S1316"/>
    </row>
    <row r="1317" spans="1:19" ht="15" customHeight="1">
      <c r="A1317" s="9"/>
      <c r="B1317" s="9"/>
      <c r="C1317" s="1">
        <f>Tabela2[[#This Row],[Data
Pedido]]-Tabela2[[#This Row],[Data Última Aprovação RC]]</f>
        <v>0</v>
      </c>
      <c r="J1317" s="1" t="str">
        <f t="shared" ca="1" si="29"/>
        <v/>
      </c>
      <c r="K1317" s="11">
        <f>Tabela2[[#This Row],[SLA
Padrão]]-Tabela2[[#This Row],[SLA Atendimento]]</f>
        <v>0</v>
      </c>
      <c r="L1317" s="11"/>
      <c r="O1317" s="1" t="s">
        <v>30</v>
      </c>
      <c r="P1317" s="2">
        <f>Tabela2[[#This Row],[Proposta
 Inicial]]-Tabela2[[#This Row],[Proposta
 Negociada]]</f>
        <v>0</v>
      </c>
      <c r="Q1317" s="4" t="e">
        <f>Tabela2[[#This Row],[Proposta
 Negociada]]/Tabela2[[#This Row],[Proposta
 Inicial]]-1</f>
        <v>#DIV/0!</v>
      </c>
      <c r="S1317"/>
    </row>
    <row r="1318" spans="1:19" ht="15" customHeight="1">
      <c r="A1318" s="9"/>
      <c r="B1318" s="9"/>
      <c r="C1318" s="1">
        <f>Tabela2[[#This Row],[Data
Pedido]]-Tabela2[[#This Row],[Data Última Aprovação RC]]</f>
        <v>0</v>
      </c>
      <c r="J1318" s="1" t="str">
        <f t="shared" ca="1" si="29"/>
        <v/>
      </c>
      <c r="K1318" s="11">
        <f>Tabela2[[#This Row],[SLA
Padrão]]-Tabela2[[#This Row],[SLA Atendimento]]</f>
        <v>0</v>
      </c>
      <c r="L1318" s="11"/>
      <c r="O1318" s="1" t="s">
        <v>30</v>
      </c>
      <c r="P1318" s="2">
        <f>Tabela2[[#This Row],[Proposta
 Inicial]]-Tabela2[[#This Row],[Proposta
 Negociada]]</f>
        <v>0</v>
      </c>
      <c r="Q1318" s="4" t="e">
        <f>Tabela2[[#This Row],[Proposta
 Negociada]]/Tabela2[[#This Row],[Proposta
 Inicial]]-1</f>
        <v>#DIV/0!</v>
      </c>
      <c r="S1318"/>
    </row>
    <row r="1319" spans="1:19" ht="15" customHeight="1">
      <c r="A1319" s="9"/>
      <c r="B1319" s="9"/>
      <c r="C1319" s="1">
        <f>Tabela2[[#This Row],[Data
Pedido]]-Tabela2[[#This Row],[Data Última Aprovação RC]]</f>
        <v>0</v>
      </c>
      <c r="J1319" s="1" t="str">
        <f t="shared" ca="1" si="29"/>
        <v/>
      </c>
      <c r="K1319" s="11">
        <f>Tabela2[[#This Row],[SLA
Padrão]]-Tabela2[[#This Row],[SLA Atendimento]]</f>
        <v>0</v>
      </c>
      <c r="L1319" s="11"/>
      <c r="O1319" s="1" t="s">
        <v>30</v>
      </c>
      <c r="P1319" s="2">
        <f>Tabela2[[#This Row],[Proposta
 Inicial]]-Tabela2[[#This Row],[Proposta
 Negociada]]</f>
        <v>0</v>
      </c>
      <c r="Q1319" s="4" t="e">
        <f>Tabela2[[#This Row],[Proposta
 Negociada]]/Tabela2[[#This Row],[Proposta
 Inicial]]-1</f>
        <v>#DIV/0!</v>
      </c>
      <c r="S1319"/>
    </row>
    <row r="1320" spans="1:19" ht="15" customHeight="1">
      <c r="A1320" s="9"/>
      <c r="B1320" s="9"/>
      <c r="C1320" s="1">
        <f>Tabela2[[#This Row],[Data
Pedido]]-Tabela2[[#This Row],[Data Última Aprovação RC]]</f>
        <v>0</v>
      </c>
      <c r="J1320" s="1" t="str">
        <f t="shared" ca="1" si="29"/>
        <v/>
      </c>
      <c r="K1320" s="11">
        <f>Tabela2[[#This Row],[SLA
Padrão]]-Tabela2[[#This Row],[SLA Atendimento]]</f>
        <v>0</v>
      </c>
      <c r="L1320" s="11"/>
      <c r="O1320" s="1" t="s">
        <v>30</v>
      </c>
      <c r="P1320" s="2">
        <f>Tabela2[[#This Row],[Proposta
 Inicial]]-Tabela2[[#This Row],[Proposta
 Negociada]]</f>
        <v>0</v>
      </c>
      <c r="Q1320" s="4" t="e">
        <f>Tabela2[[#This Row],[Proposta
 Negociada]]/Tabela2[[#This Row],[Proposta
 Inicial]]-1</f>
        <v>#DIV/0!</v>
      </c>
      <c r="S1320"/>
    </row>
    <row r="1321" spans="1:19" ht="15" customHeight="1">
      <c r="A1321" s="9"/>
      <c r="B1321" s="9"/>
      <c r="C1321" s="1">
        <f>Tabela2[[#This Row],[Data
Pedido]]-Tabela2[[#This Row],[Data Última Aprovação RC]]</f>
        <v>0</v>
      </c>
      <c r="J1321" s="1" t="str">
        <f t="shared" ca="1" si="29"/>
        <v/>
      </c>
      <c r="K1321" s="11">
        <f>Tabela2[[#This Row],[SLA
Padrão]]-Tabela2[[#This Row],[SLA Atendimento]]</f>
        <v>0</v>
      </c>
      <c r="L1321" s="11"/>
      <c r="O1321" s="1" t="s">
        <v>30</v>
      </c>
      <c r="P1321" s="2">
        <f>Tabela2[[#This Row],[Proposta
 Inicial]]-Tabela2[[#This Row],[Proposta
 Negociada]]</f>
        <v>0</v>
      </c>
      <c r="Q1321" s="4" t="e">
        <f>Tabela2[[#This Row],[Proposta
 Negociada]]/Tabela2[[#This Row],[Proposta
 Inicial]]-1</f>
        <v>#DIV/0!</v>
      </c>
      <c r="S1321"/>
    </row>
    <row r="1322" spans="1:19" ht="15" customHeight="1">
      <c r="A1322" s="9"/>
      <c r="B1322" s="9"/>
      <c r="C1322" s="1">
        <f>Tabela2[[#This Row],[Data
Pedido]]-Tabela2[[#This Row],[Data Última Aprovação RC]]</f>
        <v>0</v>
      </c>
      <c r="J1322" s="1" t="str">
        <f t="shared" ca="1" si="29"/>
        <v/>
      </c>
      <c r="K1322" s="11">
        <f>Tabela2[[#This Row],[SLA
Padrão]]-Tabela2[[#This Row],[SLA Atendimento]]</f>
        <v>0</v>
      </c>
      <c r="L1322" s="11"/>
      <c r="O1322" s="1" t="s">
        <v>30</v>
      </c>
      <c r="P1322" s="2">
        <f>Tabela2[[#This Row],[Proposta
 Inicial]]-Tabela2[[#This Row],[Proposta
 Negociada]]</f>
        <v>0</v>
      </c>
      <c r="Q1322" s="4" t="e">
        <f>Tabela2[[#This Row],[Proposta
 Negociada]]/Tabela2[[#This Row],[Proposta
 Inicial]]-1</f>
        <v>#DIV/0!</v>
      </c>
      <c r="S1322"/>
    </row>
    <row r="1323" spans="1:19" ht="15" customHeight="1">
      <c r="A1323" s="9"/>
      <c r="B1323" s="9"/>
      <c r="C1323" s="1">
        <f>Tabela2[[#This Row],[Data
Pedido]]-Tabela2[[#This Row],[Data Última Aprovação RC]]</f>
        <v>0</v>
      </c>
      <c r="J1323" s="1" t="str">
        <f t="shared" ref="J1323:J1386" ca="1" si="30">IF(A1323="","",IF(B1323="",IF(TODAY()-A1323&gt;I1323,"ATRASADA","EM ANDAMENTO"),IF(B1323-A1323&gt;I1323,"ATRASADA","NO PRAZO")))</f>
        <v/>
      </c>
      <c r="K1323" s="11">
        <f>Tabela2[[#This Row],[SLA
Padrão]]-Tabela2[[#This Row],[SLA Atendimento]]</f>
        <v>0</v>
      </c>
      <c r="L1323" s="11"/>
      <c r="O1323" s="1" t="s">
        <v>30</v>
      </c>
      <c r="P1323" s="2">
        <f>Tabela2[[#This Row],[Proposta
 Inicial]]-Tabela2[[#This Row],[Proposta
 Negociada]]</f>
        <v>0</v>
      </c>
      <c r="Q1323" s="4" t="e">
        <f>Tabela2[[#This Row],[Proposta
 Negociada]]/Tabela2[[#This Row],[Proposta
 Inicial]]-1</f>
        <v>#DIV/0!</v>
      </c>
      <c r="S1323"/>
    </row>
    <row r="1324" spans="1:19" ht="15" customHeight="1">
      <c r="A1324" s="9"/>
      <c r="B1324" s="9"/>
      <c r="C1324" s="1">
        <f>Tabela2[[#This Row],[Data
Pedido]]-Tabela2[[#This Row],[Data Última Aprovação RC]]</f>
        <v>0</v>
      </c>
      <c r="J1324" s="1" t="str">
        <f t="shared" ca="1" si="30"/>
        <v/>
      </c>
      <c r="K1324" s="11">
        <f>Tabela2[[#This Row],[SLA
Padrão]]-Tabela2[[#This Row],[SLA Atendimento]]</f>
        <v>0</v>
      </c>
      <c r="L1324" s="11"/>
      <c r="O1324" s="1" t="s">
        <v>30</v>
      </c>
      <c r="P1324" s="2">
        <f>Tabela2[[#This Row],[Proposta
 Inicial]]-Tabela2[[#This Row],[Proposta
 Negociada]]</f>
        <v>0</v>
      </c>
      <c r="Q1324" s="4" t="e">
        <f>Tabela2[[#This Row],[Proposta
 Negociada]]/Tabela2[[#This Row],[Proposta
 Inicial]]-1</f>
        <v>#DIV/0!</v>
      </c>
      <c r="S1324"/>
    </row>
    <row r="1325" spans="1:19" ht="15" customHeight="1">
      <c r="A1325" s="9"/>
      <c r="B1325" s="9"/>
      <c r="C1325" s="1">
        <f>Tabela2[[#This Row],[Data
Pedido]]-Tabela2[[#This Row],[Data Última Aprovação RC]]</f>
        <v>0</v>
      </c>
      <c r="J1325" s="1" t="str">
        <f t="shared" ca="1" si="30"/>
        <v/>
      </c>
      <c r="K1325" s="11">
        <f>Tabela2[[#This Row],[SLA
Padrão]]-Tabela2[[#This Row],[SLA Atendimento]]</f>
        <v>0</v>
      </c>
      <c r="L1325" s="11"/>
      <c r="O1325" s="1" t="s">
        <v>30</v>
      </c>
      <c r="P1325" s="2">
        <f>Tabela2[[#This Row],[Proposta
 Inicial]]-Tabela2[[#This Row],[Proposta
 Negociada]]</f>
        <v>0</v>
      </c>
      <c r="Q1325" s="4" t="e">
        <f>Tabela2[[#This Row],[Proposta
 Negociada]]/Tabela2[[#This Row],[Proposta
 Inicial]]-1</f>
        <v>#DIV/0!</v>
      </c>
      <c r="S1325"/>
    </row>
    <row r="1326" spans="1:19" ht="15" customHeight="1">
      <c r="A1326" s="9"/>
      <c r="B1326" s="9"/>
      <c r="C1326" s="1">
        <f>Tabela2[[#This Row],[Data
Pedido]]-Tabela2[[#This Row],[Data Última Aprovação RC]]</f>
        <v>0</v>
      </c>
      <c r="J1326" s="1" t="str">
        <f t="shared" ca="1" si="30"/>
        <v/>
      </c>
      <c r="K1326" s="11">
        <f>Tabela2[[#This Row],[SLA
Padrão]]-Tabela2[[#This Row],[SLA Atendimento]]</f>
        <v>0</v>
      </c>
      <c r="L1326" s="11"/>
      <c r="O1326" s="1" t="s">
        <v>30</v>
      </c>
      <c r="P1326" s="2">
        <f>Tabela2[[#This Row],[Proposta
 Inicial]]-Tabela2[[#This Row],[Proposta
 Negociada]]</f>
        <v>0</v>
      </c>
      <c r="Q1326" s="4" t="e">
        <f>Tabela2[[#This Row],[Proposta
 Negociada]]/Tabela2[[#This Row],[Proposta
 Inicial]]-1</f>
        <v>#DIV/0!</v>
      </c>
      <c r="S1326"/>
    </row>
    <row r="1327" spans="1:19" ht="15" customHeight="1">
      <c r="A1327" s="9"/>
      <c r="B1327" s="9"/>
      <c r="C1327" s="1">
        <f>Tabela2[[#This Row],[Data
Pedido]]-Tabela2[[#This Row],[Data Última Aprovação RC]]</f>
        <v>0</v>
      </c>
      <c r="J1327" s="1" t="str">
        <f t="shared" ca="1" si="30"/>
        <v/>
      </c>
      <c r="K1327" s="11">
        <f>Tabela2[[#This Row],[SLA
Padrão]]-Tabela2[[#This Row],[SLA Atendimento]]</f>
        <v>0</v>
      </c>
      <c r="L1327" s="11"/>
      <c r="O1327" s="1" t="s">
        <v>30</v>
      </c>
      <c r="P1327" s="2">
        <f>Tabela2[[#This Row],[Proposta
 Inicial]]-Tabela2[[#This Row],[Proposta
 Negociada]]</f>
        <v>0</v>
      </c>
      <c r="Q1327" s="4" t="e">
        <f>Tabela2[[#This Row],[Proposta
 Negociada]]/Tabela2[[#This Row],[Proposta
 Inicial]]-1</f>
        <v>#DIV/0!</v>
      </c>
      <c r="S1327"/>
    </row>
    <row r="1328" spans="1:19" ht="15" customHeight="1">
      <c r="A1328" s="9"/>
      <c r="B1328" s="9"/>
      <c r="C1328" s="1">
        <f>Tabela2[[#This Row],[Data
Pedido]]-Tabela2[[#This Row],[Data Última Aprovação RC]]</f>
        <v>0</v>
      </c>
      <c r="J1328" s="1" t="str">
        <f t="shared" ca="1" si="30"/>
        <v/>
      </c>
      <c r="K1328" s="11">
        <f>Tabela2[[#This Row],[SLA
Padrão]]-Tabela2[[#This Row],[SLA Atendimento]]</f>
        <v>0</v>
      </c>
      <c r="L1328" s="11"/>
      <c r="O1328" s="1" t="s">
        <v>30</v>
      </c>
      <c r="P1328" s="2">
        <f>Tabela2[[#This Row],[Proposta
 Inicial]]-Tabela2[[#This Row],[Proposta
 Negociada]]</f>
        <v>0</v>
      </c>
      <c r="Q1328" s="4" t="e">
        <f>Tabela2[[#This Row],[Proposta
 Negociada]]/Tabela2[[#This Row],[Proposta
 Inicial]]-1</f>
        <v>#DIV/0!</v>
      </c>
      <c r="S1328"/>
    </row>
    <row r="1329" spans="1:19" ht="15" customHeight="1">
      <c r="A1329" s="9"/>
      <c r="B1329" s="9"/>
      <c r="C1329" s="1">
        <f>Tabela2[[#This Row],[Data
Pedido]]-Tabela2[[#This Row],[Data Última Aprovação RC]]</f>
        <v>0</v>
      </c>
      <c r="J1329" s="1" t="str">
        <f t="shared" ca="1" si="30"/>
        <v/>
      </c>
      <c r="K1329" s="11">
        <f>Tabela2[[#This Row],[SLA
Padrão]]-Tabela2[[#This Row],[SLA Atendimento]]</f>
        <v>0</v>
      </c>
      <c r="L1329" s="11"/>
      <c r="O1329" s="1" t="s">
        <v>30</v>
      </c>
      <c r="P1329" s="2">
        <f>Tabela2[[#This Row],[Proposta
 Inicial]]-Tabela2[[#This Row],[Proposta
 Negociada]]</f>
        <v>0</v>
      </c>
      <c r="Q1329" s="4" t="e">
        <f>Tabela2[[#This Row],[Proposta
 Negociada]]/Tabela2[[#This Row],[Proposta
 Inicial]]-1</f>
        <v>#DIV/0!</v>
      </c>
      <c r="S1329"/>
    </row>
    <row r="1330" spans="1:19" ht="15" customHeight="1">
      <c r="A1330" s="9"/>
      <c r="B1330" s="9"/>
      <c r="C1330" s="1">
        <f>Tabela2[[#This Row],[Data
Pedido]]-Tabela2[[#This Row],[Data Última Aprovação RC]]</f>
        <v>0</v>
      </c>
      <c r="J1330" s="1" t="str">
        <f t="shared" ca="1" si="30"/>
        <v/>
      </c>
      <c r="K1330" s="11">
        <f>Tabela2[[#This Row],[SLA
Padrão]]-Tabela2[[#This Row],[SLA Atendimento]]</f>
        <v>0</v>
      </c>
      <c r="L1330" s="11"/>
      <c r="O1330" s="1" t="s">
        <v>30</v>
      </c>
      <c r="P1330" s="2">
        <f>Tabela2[[#This Row],[Proposta
 Inicial]]-Tabela2[[#This Row],[Proposta
 Negociada]]</f>
        <v>0</v>
      </c>
      <c r="Q1330" s="4" t="e">
        <f>Tabela2[[#This Row],[Proposta
 Negociada]]/Tabela2[[#This Row],[Proposta
 Inicial]]-1</f>
        <v>#DIV/0!</v>
      </c>
      <c r="S1330"/>
    </row>
    <row r="1331" spans="1:19" ht="15" customHeight="1">
      <c r="A1331" s="9"/>
      <c r="B1331" s="9"/>
      <c r="C1331" s="1">
        <f>Tabela2[[#This Row],[Data
Pedido]]-Tabela2[[#This Row],[Data Última Aprovação RC]]</f>
        <v>0</v>
      </c>
      <c r="J1331" s="1" t="str">
        <f t="shared" ca="1" si="30"/>
        <v/>
      </c>
      <c r="K1331" s="11">
        <f>Tabela2[[#This Row],[SLA
Padrão]]-Tabela2[[#This Row],[SLA Atendimento]]</f>
        <v>0</v>
      </c>
      <c r="L1331" s="11"/>
      <c r="O1331" s="1" t="s">
        <v>30</v>
      </c>
      <c r="P1331" s="2">
        <f>Tabela2[[#This Row],[Proposta
 Inicial]]-Tabela2[[#This Row],[Proposta
 Negociada]]</f>
        <v>0</v>
      </c>
      <c r="Q1331" s="4" t="e">
        <f>Tabela2[[#This Row],[Proposta
 Negociada]]/Tabela2[[#This Row],[Proposta
 Inicial]]-1</f>
        <v>#DIV/0!</v>
      </c>
      <c r="S1331"/>
    </row>
    <row r="1332" spans="1:19" ht="15" customHeight="1">
      <c r="A1332" s="9"/>
      <c r="B1332" s="9"/>
      <c r="C1332" s="1">
        <f>Tabela2[[#This Row],[Data
Pedido]]-Tabela2[[#This Row],[Data Última Aprovação RC]]</f>
        <v>0</v>
      </c>
      <c r="J1332" s="1" t="str">
        <f t="shared" ca="1" si="30"/>
        <v/>
      </c>
      <c r="K1332" s="11">
        <f>Tabela2[[#This Row],[SLA
Padrão]]-Tabela2[[#This Row],[SLA Atendimento]]</f>
        <v>0</v>
      </c>
      <c r="L1332" s="11"/>
      <c r="O1332" s="1" t="s">
        <v>30</v>
      </c>
      <c r="P1332" s="2">
        <f>Tabela2[[#This Row],[Proposta
 Inicial]]-Tabela2[[#This Row],[Proposta
 Negociada]]</f>
        <v>0</v>
      </c>
      <c r="Q1332" s="4" t="e">
        <f>Tabela2[[#This Row],[Proposta
 Negociada]]/Tabela2[[#This Row],[Proposta
 Inicial]]-1</f>
        <v>#DIV/0!</v>
      </c>
      <c r="S1332"/>
    </row>
    <row r="1333" spans="1:19" ht="15" customHeight="1">
      <c r="A1333" s="9"/>
      <c r="B1333" s="9"/>
      <c r="C1333" s="1">
        <f>Tabela2[[#This Row],[Data
Pedido]]-Tabela2[[#This Row],[Data Última Aprovação RC]]</f>
        <v>0</v>
      </c>
      <c r="J1333" s="1" t="str">
        <f t="shared" ca="1" si="30"/>
        <v/>
      </c>
      <c r="K1333" s="11">
        <f>Tabela2[[#This Row],[SLA
Padrão]]-Tabela2[[#This Row],[SLA Atendimento]]</f>
        <v>0</v>
      </c>
      <c r="L1333" s="11"/>
      <c r="O1333" s="1" t="s">
        <v>30</v>
      </c>
      <c r="P1333" s="2">
        <f>Tabela2[[#This Row],[Proposta
 Inicial]]-Tabela2[[#This Row],[Proposta
 Negociada]]</f>
        <v>0</v>
      </c>
      <c r="Q1333" s="4" t="e">
        <f>Tabela2[[#This Row],[Proposta
 Negociada]]/Tabela2[[#This Row],[Proposta
 Inicial]]-1</f>
        <v>#DIV/0!</v>
      </c>
      <c r="S1333"/>
    </row>
    <row r="1334" spans="1:19" ht="15" customHeight="1">
      <c r="A1334" s="9"/>
      <c r="B1334" s="9"/>
      <c r="C1334" s="1">
        <f>Tabela2[[#This Row],[Data
Pedido]]-Tabela2[[#This Row],[Data Última Aprovação RC]]</f>
        <v>0</v>
      </c>
      <c r="J1334" s="1" t="str">
        <f t="shared" ca="1" si="30"/>
        <v/>
      </c>
      <c r="K1334" s="11">
        <f>Tabela2[[#This Row],[SLA
Padrão]]-Tabela2[[#This Row],[SLA Atendimento]]</f>
        <v>0</v>
      </c>
      <c r="L1334" s="11"/>
      <c r="O1334" s="1" t="s">
        <v>30</v>
      </c>
      <c r="P1334" s="2">
        <f>Tabela2[[#This Row],[Proposta
 Inicial]]-Tabela2[[#This Row],[Proposta
 Negociada]]</f>
        <v>0</v>
      </c>
      <c r="Q1334" s="4" t="e">
        <f>Tabela2[[#This Row],[Proposta
 Negociada]]/Tabela2[[#This Row],[Proposta
 Inicial]]-1</f>
        <v>#DIV/0!</v>
      </c>
      <c r="S1334"/>
    </row>
    <row r="1335" spans="1:19" ht="15" customHeight="1">
      <c r="A1335" s="9"/>
      <c r="B1335" s="9"/>
      <c r="C1335" s="1">
        <f>Tabela2[[#This Row],[Data
Pedido]]-Tabela2[[#This Row],[Data Última Aprovação RC]]</f>
        <v>0</v>
      </c>
      <c r="J1335" s="1" t="str">
        <f t="shared" ca="1" si="30"/>
        <v/>
      </c>
      <c r="K1335" s="11">
        <f>Tabela2[[#This Row],[SLA
Padrão]]-Tabela2[[#This Row],[SLA Atendimento]]</f>
        <v>0</v>
      </c>
      <c r="L1335" s="11"/>
      <c r="O1335" s="1" t="s">
        <v>30</v>
      </c>
      <c r="P1335" s="2">
        <f>Tabela2[[#This Row],[Proposta
 Inicial]]-Tabela2[[#This Row],[Proposta
 Negociada]]</f>
        <v>0</v>
      </c>
      <c r="Q1335" s="4" t="e">
        <f>Tabela2[[#This Row],[Proposta
 Negociada]]/Tabela2[[#This Row],[Proposta
 Inicial]]-1</f>
        <v>#DIV/0!</v>
      </c>
      <c r="S1335"/>
    </row>
    <row r="1336" spans="1:19" ht="15" customHeight="1">
      <c r="A1336" s="9"/>
      <c r="B1336" s="9"/>
      <c r="C1336" s="1">
        <f>Tabela2[[#This Row],[Data
Pedido]]-Tabela2[[#This Row],[Data Última Aprovação RC]]</f>
        <v>0</v>
      </c>
      <c r="J1336" s="1" t="str">
        <f t="shared" ca="1" si="30"/>
        <v/>
      </c>
      <c r="K1336" s="11">
        <f>Tabela2[[#This Row],[SLA
Padrão]]-Tabela2[[#This Row],[SLA Atendimento]]</f>
        <v>0</v>
      </c>
      <c r="L1336" s="11"/>
      <c r="O1336" s="1" t="s">
        <v>30</v>
      </c>
      <c r="P1336" s="2">
        <f>Tabela2[[#This Row],[Proposta
 Inicial]]-Tabela2[[#This Row],[Proposta
 Negociada]]</f>
        <v>0</v>
      </c>
      <c r="Q1336" s="4" t="e">
        <f>Tabela2[[#This Row],[Proposta
 Negociada]]/Tabela2[[#This Row],[Proposta
 Inicial]]-1</f>
        <v>#DIV/0!</v>
      </c>
      <c r="S1336"/>
    </row>
    <row r="1337" spans="1:19" ht="15" customHeight="1">
      <c r="A1337" s="9"/>
      <c r="B1337" s="9"/>
      <c r="C1337" s="1">
        <f>Tabela2[[#This Row],[Data
Pedido]]-Tabela2[[#This Row],[Data Última Aprovação RC]]</f>
        <v>0</v>
      </c>
      <c r="J1337" s="1" t="str">
        <f t="shared" ca="1" si="30"/>
        <v/>
      </c>
      <c r="K1337" s="11">
        <f>Tabela2[[#This Row],[SLA
Padrão]]-Tabela2[[#This Row],[SLA Atendimento]]</f>
        <v>0</v>
      </c>
      <c r="L1337" s="11"/>
      <c r="O1337" s="1" t="s">
        <v>30</v>
      </c>
      <c r="P1337" s="2">
        <f>Tabela2[[#This Row],[Proposta
 Inicial]]-Tabela2[[#This Row],[Proposta
 Negociada]]</f>
        <v>0</v>
      </c>
      <c r="Q1337" s="4" t="e">
        <f>Tabela2[[#This Row],[Proposta
 Negociada]]/Tabela2[[#This Row],[Proposta
 Inicial]]-1</f>
        <v>#DIV/0!</v>
      </c>
      <c r="S1337"/>
    </row>
    <row r="1338" spans="1:19" ht="15" customHeight="1">
      <c r="A1338" s="9"/>
      <c r="B1338" s="9"/>
      <c r="C1338" s="1">
        <f>Tabela2[[#This Row],[Data
Pedido]]-Tabela2[[#This Row],[Data Última Aprovação RC]]</f>
        <v>0</v>
      </c>
      <c r="J1338" s="1" t="str">
        <f t="shared" ca="1" si="30"/>
        <v/>
      </c>
      <c r="K1338" s="11">
        <f>Tabela2[[#This Row],[SLA
Padrão]]-Tabela2[[#This Row],[SLA Atendimento]]</f>
        <v>0</v>
      </c>
      <c r="L1338" s="11"/>
      <c r="O1338" s="1" t="s">
        <v>30</v>
      </c>
      <c r="P1338" s="2">
        <f>Tabela2[[#This Row],[Proposta
 Inicial]]-Tabela2[[#This Row],[Proposta
 Negociada]]</f>
        <v>0</v>
      </c>
      <c r="Q1338" s="4" t="e">
        <f>Tabela2[[#This Row],[Proposta
 Negociada]]/Tabela2[[#This Row],[Proposta
 Inicial]]-1</f>
        <v>#DIV/0!</v>
      </c>
      <c r="S1338"/>
    </row>
    <row r="1339" spans="1:19" ht="15" customHeight="1">
      <c r="A1339" s="9"/>
      <c r="B1339" s="9"/>
      <c r="C1339" s="1">
        <f>Tabela2[[#This Row],[Data
Pedido]]-Tabela2[[#This Row],[Data Última Aprovação RC]]</f>
        <v>0</v>
      </c>
      <c r="J1339" s="1" t="str">
        <f t="shared" ca="1" si="30"/>
        <v/>
      </c>
      <c r="K1339" s="11">
        <f>Tabela2[[#This Row],[SLA
Padrão]]-Tabela2[[#This Row],[SLA Atendimento]]</f>
        <v>0</v>
      </c>
      <c r="L1339" s="11"/>
      <c r="O1339" s="1" t="s">
        <v>30</v>
      </c>
      <c r="P1339" s="2">
        <f>Tabela2[[#This Row],[Proposta
 Inicial]]-Tabela2[[#This Row],[Proposta
 Negociada]]</f>
        <v>0</v>
      </c>
      <c r="Q1339" s="4" t="e">
        <f>Tabela2[[#This Row],[Proposta
 Negociada]]/Tabela2[[#This Row],[Proposta
 Inicial]]-1</f>
        <v>#DIV/0!</v>
      </c>
      <c r="S1339"/>
    </row>
    <row r="1340" spans="1:19" ht="15" customHeight="1">
      <c r="A1340" s="9"/>
      <c r="B1340" s="9"/>
      <c r="C1340" s="1">
        <f>Tabela2[[#This Row],[Data
Pedido]]-Tabela2[[#This Row],[Data Última Aprovação RC]]</f>
        <v>0</v>
      </c>
      <c r="J1340" s="1" t="str">
        <f t="shared" ca="1" si="30"/>
        <v/>
      </c>
      <c r="K1340" s="11">
        <f>Tabela2[[#This Row],[SLA
Padrão]]-Tabela2[[#This Row],[SLA Atendimento]]</f>
        <v>0</v>
      </c>
      <c r="L1340" s="11"/>
      <c r="O1340" s="1" t="s">
        <v>30</v>
      </c>
      <c r="P1340" s="2">
        <f>Tabela2[[#This Row],[Proposta
 Inicial]]-Tabela2[[#This Row],[Proposta
 Negociada]]</f>
        <v>0</v>
      </c>
      <c r="Q1340" s="4" t="e">
        <f>Tabela2[[#This Row],[Proposta
 Negociada]]/Tabela2[[#This Row],[Proposta
 Inicial]]-1</f>
        <v>#DIV/0!</v>
      </c>
      <c r="S1340"/>
    </row>
    <row r="1341" spans="1:19" ht="15" customHeight="1">
      <c r="A1341" s="9"/>
      <c r="B1341" s="9"/>
      <c r="C1341" s="1">
        <f>Tabela2[[#This Row],[Data
Pedido]]-Tabela2[[#This Row],[Data Última Aprovação RC]]</f>
        <v>0</v>
      </c>
      <c r="J1341" s="1" t="str">
        <f t="shared" ca="1" si="30"/>
        <v/>
      </c>
      <c r="K1341" s="11">
        <f>Tabela2[[#This Row],[SLA
Padrão]]-Tabela2[[#This Row],[SLA Atendimento]]</f>
        <v>0</v>
      </c>
      <c r="L1341" s="11"/>
      <c r="O1341" s="1" t="s">
        <v>30</v>
      </c>
      <c r="P1341" s="2">
        <f>Tabela2[[#This Row],[Proposta
 Inicial]]-Tabela2[[#This Row],[Proposta
 Negociada]]</f>
        <v>0</v>
      </c>
      <c r="Q1341" s="4" t="e">
        <f>Tabela2[[#This Row],[Proposta
 Negociada]]/Tabela2[[#This Row],[Proposta
 Inicial]]-1</f>
        <v>#DIV/0!</v>
      </c>
      <c r="S1341"/>
    </row>
    <row r="1342" spans="1:19" ht="15" customHeight="1">
      <c r="A1342" s="9"/>
      <c r="B1342" s="9"/>
      <c r="C1342" s="1">
        <f>Tabela2[[#This Row],[Data
Pedido]]-Tabela2[[#This Row],[Data Última Aprovação RC]]</f>
        <v>0</v>
      </c>
      <c r="J1342" s="1" t="str">
        <f t="shared" ca="1" si="30"/>
        <v/>
      </c>
      <c r="K1342" s="11">
        <f>Tabela2[[#This Row],[SLA
Padrão]]-Tabela2[[#This Row],[SLA Atendimento]]</f>
        <v>0</v>
      </c>
      <c r="L1342" s="11"/>
      <c r="O1342" s="1" t="s">
        <v>30</v>
      </c>
      <c r="P1342" s="2">
        <f>Tabela2[[#This Row],[Proposta
 Inicial]]-Tabela2[[#This Row],[Proposta
 Negociada]]</f>
        <v>0</v>
      </c>
      <c r="Q1342" s="4" t="e">
        <f>Tabela2[[#This Row],[Proposta
 Negociada]]/Tabela2[[#This Row],[Proposta
 Inicial]]-1</f>
        <v>#DIV/0!</v>
      </c>
      <c r="S1342"/>
    </row>
    <row r="1343" spans="1:19" ht="15" customHeight="1">
      <c r="A1343" s="9"/>
      <c r="B1343" s="9"/>
      <c r="C1343" s="1">
        <f>Tabela2[[#This Row],[Data
Pedido]]-Tabela2[[#This Row],[Data Última Aprovação RC]]</f>
        <v>0</v>
      </c>
      <c r="J1343" s="1" t="str">
        <f t="shared" ca="1" si="30"/>
        <v/>
      </c>
      <c r="K1343" s="11">
        <f>Tabela2[[#This Row],[SLA
Padrão]]-Tabela2[[#This Row],[SLA Atendimento]]</f>
        <v>0</v>
      </c>
      <c r="L1343" s="11"/>
      <c r="O1343" s="1" t="s">
        <v>30</v>
      </c>
      <c r="P1343" s="2">
        <f>Tabela2[[#This Row],[Proposta
 Inicial]]-Tabela2[[#This Row],[Proposta
 Negociada]]</f>
        <v>0</v>
      </c>
      <c r="Q1343" s="4" t="e">
        <f>Tabela2[[#This Row],[Proposta
 Negociada]]/Tabela2[[#This Row],[Proposta
 Inicial]]-1</f>
        <v>#DIV/0!</v>
      </c>
      <c r="S1343"/>
    </row>
    <row r="1344" spans="1:19" ht="15" customHeight="1">
      <c r="A1344" s="9"/>
      <c r="B1344" s="9"/>
      <c r="C1344" s="1">
        <f>Tabela2[[#This Row],[Data
Pedido]]-Tabela2[[#This Row],[Data Última Aprovação RC]]</f>
        <v>0</v>
      </c>
      <c r="J1344" s="1" t="str">
        <f t="shared" ca="1" si="30"/>
        <v/>
      </c>
      <c r="K1344" s="11">
        <f>Tabela2[[#This Row],[SLA
Padrão]]-Tabela2[[#This Row],[SLA Atendimento]]</f>
        <v>0</v>
      </c>
      <c r="L1344" s="11"/>
      <c r="O1344" s="1" t="s">
        <v>30</v>
      </c>
      <c r="P1344" s="2">
        <f>Tabela2[[#This Row],[Proposta
 Inicial]]-Tabela2[[#This Row],[Proposta
 Negociada]]</f>
        <v>0</v>
      </c>
      <c r="Q1344" s="4" t="e">
        <f>Tabela2[[#This Row],[Proposta
 Negociada]]/Tabela2[[#This Row],[Proposta
 Inicial]]-1</f>
        <v>#DIV/0!</v>
      </c>
      <c r="S1344"/>
    </row>
    <row r="1345" spans="1:19" ht="15" customHeight="1">
      <c r="A1345" s="9"/>
      <c r="B1345" s="9"/>
      <c r="C1345" s="1">
        <f>Tabela2[[#This Row],[Data
Pedido]]-Tabela2[[#This Row],[Data Última Aprovação RC]]</f>
        <v>0</v>
      </c>
      <c r="J1345" s="1" t="str">
        <f t="shared" ca="1" si="30"/>
        <v/>
      </c>
      <c r="K1345" s="11">
        <f>Tabela2[[#This Row],[SLA
Padrão]]-Tabela2[[#This Row],[SLA Atendimento]]</f>
        <v>0</v>
      </c>
      <c r="L1345" s="11"/>
      <c r="O1345" s="1" t="s">
        <v>30</v>
      </c>
      <c r="P1345" s="2">
        <f>Tabela2[[#This Row],[Proposta
 Inicial]]-Tabela2[[#This Row],[Proposta
 Negociada]]</f>
        <v>0</v>
      </c>
      <c r="Q1345" s="4" t="e">
        <f>Tabela2[[#This Row],[Proposta
 Negociada]]/Tabela2[[#This Row],[Proposta
 Inicial]]-1</f>
        <v>#DIV/0!</v>
      </c>
      <c r="S1345"/>
    </row>
    <row r="1346" spans="1:19" ht="15" customHeight="1">
      <c r="A1346" s="9"/>
      <c r="B1346" s="9"/>
      <c r="C1346" s="1">
        <f>Tabela2[[#This Row],[Data
Pedido]]-Tabela2[[#This Row],[Data Última Aprovação RC]]</f>
        <v>0</v>
      </c>
      <c r="J1346" s="1" t="str">
        <f t="shared" ca="1" si="30"/>
        <v/>
      </c>
      <c r="K1346" s="11">
        <f>Tabela2[[#This Row],[SLA
Padrão]]-Tabela2[[#This Row],[SLA Atendimento]]</f>
        <v>0</v>
      </c>
      <c r="L1346" s="11"/>
      <c r="O1346" s="1" t="s">
        <v>30</v>
      </c>
      <c r="P1346" s="2">
        <f>Tabela2[[#This Row],[Proposta
 Inicial]]-Tabela2[[#This Row],[Proposta
 Negociada]]</f>
        <v>0</v>
      </c>
      <c r="Q1346" s="4" t="e">
        <f>Tabela2[[#This Row],[Proposta
 Negociada]]/Tabela2[[#This Row],[Proposta
 Inicial]]-1</f>
        <v>#DIV/0!</v>
      </c>
      <c r="S1346"/>
    </row>
    <row r="1347" spans="1:19" ht="15" customHeight="1">
      <c r="A1347" s="9"/>
      <c r="B1347" s="9"/>
      <c r="C1347" s="1">
        <f>Tabela2[[#This Row],[Data
Pedido]]-Tabela2[[#This Row],[Data Última Aprovação RC]]</f>
        <v>0</v>
      </c>
      <c r="J1347" s="1" t="str">
        <f t="shared" ca="1" si="30"/>
        <v/>
      </c>
      <c r="K1347" s="11">
        <f>Tabela2[[#This Row],[SLA
Padrão]]-Tabela2[[#This Row],[SLA Atendimento]]</f>
        <v>0</v>
      </c>
      <c r="L1347" s="11"/>
      <c r="O1347" s="1" t="s">
        <v>30</v>
      </c>
      <c r="P1347" s="2">
        <f>Tabela2[[#This Row],[Proposta
 Inicial]]-Tabela2[[#This Row],[Proposta
 Negociada]]</f>
        <v>0</v>
      </c>
      <c r="Q1347" s="4" t="e">
        <f>Tabela2[[#This Row],[Proposta
 Negociada]]/Tabela2[[#This Row],[Proposta
 Inicial]]-1</f>
        <v>#DIV/0!</v>
      </c>
      <c r="S1347"/>
    </row>
    <row r="1348" spans="1:19" ht="15" customHeight="1">
      <c r="A1348" s="9"/>
      <c r="B1348" s="9"/>
      <c r="C1348" s="1">
        <f>Tabela2[[#This Row],[Data
Pedido]]-Tabela2[[#This Row],[Data Última Aprovação RC]]</f>
        <v>0</v>
      </c>
      <c r="J1348" s="1" t="str">
        <f t="shared" ca="1" si="30"/>
        <v/>
      </c>
      <c r="K1348" s="11">
        <f>Tabela2[[#This Row],[SLA
Padrão]]-Tabela2[[#This Row],[SLA Atendimento]]</f>
        <v>0</v>
      </c>
      <c r="L1348" s="11"/>
      <c r="O1348" s="1" t="s">
        <v>30</v>
      </c>
      <c r="P1348" s="2">
        <f>Tabela2[[#This Row],[Proposta
 Inicial]]-Tabela2[[#This Row],[Proposta
 Negociada]]</f>
        <v>0</v>
      </c>
      <c r="Q1348" s="4" t="e">
        <f>Tabela2[[#This Row],[Proposta
 Negociada]]/Tabela2[[#This Row],[Proposta
 Inicial]]-1</f>
        <v>#DIV/0!</v>
      </c>
      <c r="S1348"/>
    </row>
    <row r="1349" spans="1:19" ht="15" customHeight="1">
      <c r="A1349" s="9"/>
      <c r="B1349" s="9"/>
      <c r="C1349" s="1">
        <f>Tabela2[[#This Row],[Data
Pedido]]-Tabela2[[#This Row],[Data Última Aprovação RC]]</f>
        <v>0</v>
      </c>
      <c r="J1349" s="1" t="str">
        <f t="shared" ca="1" si="30"/>
        <v/>
      </c>
      <c r="K1349" s="11">
        <f>Tabela2[[#This Row],[SLA
Padrão]]-Tabela2[[#This Row],[SLA Atendimento]]</f>
        <v>0</v>
      </c>
      <c r="L1349" s="11"/>
      <c r="O1349" s="1" t="s">
        <v>30</v>
      </c>
      <c r="P1349" s="2">
        <f>Tabela2[[#This Row],[Proposta
 Inicial]]-Tabela2[[#This Row],[Proposta
 Negociada]]</f>
        <v>0</v>
      </c>
      <c r="Q1349" s="4" t="e">
        <f>Tabela2[[#This Row],[Proposta
 Negociada]]/Tabela2[[#This Row],[Proposta
 Inicial]]-1</f>
        <v>#DIV/0!</v>
      </c>
      <c r="S1349"/>
    </row>
    <row r="1350" spans="1:19" ht="15" customHeight="1">
      <c r="A1350" s="9"/>
      <c r="B1350" s="9"/>
      <c r="C1350" s="1">
        <f>Tabela2[[#This Row],[Data
Pedido]]-Tabela2[[#This Row],[Data Última Aprovação RC]]</f>
        <v>0</v>
      </c>
      <c r="J1350" s="1" t="str">
        <f t="shared" ca="1" si="30"/>
        <v/>
      </c>
      <c r="K1350" s="11">
        <f>Tabela2[[#This Row],[SLA
Padrão]]-Tabela2[[#This Row],[SLA Atendimento]]</f>
        <v>0</v>
      </c>
      <c r="L1350" s="11"/>
      <c r="O1350" s="1" t="s">
        <v>30</v>
      </c>
      <c r="P1350" s="2">
        <f>Tabela2[[#This Row],[Proposta
 Inicial]]-Tabela2[[#This Row],[Proposta
 Negociada]]</f>
        <v>0</v>
      </c>
      <c r="Q1350" s="4" t="e">
        <f>Tabela2[[#This Row],[Proposta
 Negociada]]/Tabela2[[#This Row],[Proposta
 Inicial]]-1</f>
        <v>#DIV/0!</v>
      </c>
      <c r="S1350"/>
    </row>
    <row r="1351" spans="1:19" ht="15" customHeight="1">
      <c r="A1351" s="9"/>
      <c r="B1351" s="9"/>
      <c r="C1351" s="1">
        <f>Tabela2[[#This Row],[Data
Pedido]]-Tabela2[[#This Row],[Data Última Aprovação RC]]</f>
        <v>0</v>
      </c>
      <c r="J1351" s="1" t="str">
        <f t="shared" ca="1" si="30"/>
        <v/>
      </c>
      <c r="K1351" s="11">
        <f>Tabela2[[#This Row],[SLA
Padrão]]-Tabela2[[#This Row],[SLA Atendimento]]</f>
        <v>0</v>
      </c>
      <c r="L1351" s="11"/>
      <c r="O1351" s="1" t="s">
        <v>30</v>
      </c>
      <c r="P1351" s="2">
        <f>Tabela2[[#This Row],[Proposta
 Inicial]]-Tabela2[[#This Row],[Proposta
 Negociada]]</f>
        <v>0</v>
      </c>
      <c r="Q1351" s="4" t="e">
        <f>Tabela2[[#This Row],[Proposta
 Negociada]]/Tabela2[[#This Row],[Proposta
 Inicial]]-1</f>
        <v>#DIV/0!</v>
      </c>
      <c r="S1351"/>
    </row>
    <row r="1352" spans="1:19" ht="15" customHeight="1">
      <c r="A1352" s="9"/>
      <c r="B1352" s="9"/>
      <c r="C1352" s="1">
        <f>Tabela2[[#This Row],[Data
Pedido]]-Tabela2[[#This Row],[Data Última Aprovação RC]]</f>
        <v>0</v>
      </c>
      <c r="J1352" s="1" t="str">
        <f t="shared" ca="1" si="30"/>
        <v/>
      </c>
      <c r="K1352" s="11">
        <f>Tabela2[[#This Row],[SLA
Padrão]]-Tabela2[[#This Row],[SLA Atendimento]]</f>
        <v>0</v>
      </c>
      <c r="L1352" s="11"/>
      <c r="O1352" s="1" t="s">
        <v>30</v>
      </c>
      <c r="P1352" s="2">
        <f>Tabela2[[#This Row],[Proposta
 Inicial]]-Tabela2[[#This Row],[Proposta
 Negociada]]</f>
        <v>0</v>
      </c>
      <c r="Q1352" s="4" t="e">
        <f>Tabela2[[#This Row],[Proposta
 Negociada]]/Tabela2[[#This Row],[Proposta
 Inicial]]-1</f>
        <v>#DIV/0!</v>
      </c>
      <c r="S1352"/>
    </row>
    <row r="1353" spans="1:19" ht="15" customHeight="1">
      <c r="A1353" s="9"/>
      <c r="B1353" s="9"/>
      <c r="C1353" s="1">
        <f>Tabela2[[#This Row],[Data
Pedido]]-Tabela2[[#This Row],[Data Última Aprovação RC]]</f>
        <v>0</v>
      </c>
      <c r="J1353" s="1" t="str">
        <f t="shared" ca="1" si="30"/>
        <v/>
      </c>
      <c r="K1353" s="11">
        <f>Tabela2[[#This Row],[SLA
Padrão]]-Tabela2[[#This Row],[SLA Atendimento]]</f>
        <v>0</v>
      </c>
      <c r="L1353" s="11"/>
      <c r="O1353" s="1" t="s">
        <v>30</v>
      </c>
      <c r="P1353" s="2">
        <f>Tabela2[[#This Row],[Proposta
 Inicial]]-Tabela2[[#This Row],[Proposta
 Negociada]]</f>
        <v>0</v>
      </c>
      <c r="Q1353" s="4" t="e">
        <f>Tabela2[[#This Row],[Proposta
 Negociada]]/Tabela2[[#This Row],[Proposta
 Inicial]]-1</f>
        <v>#DIV/0!</v>
      </c>
      <c r="S1353"/>
    </row>
    <row r="1354" spans="1:19" ht="15" customHeight="1">
      <c r="A1354" s="9"/>
      <c r="B1354" s="9"/>
      <c r="C1354" s="1">
        <f>Tabela2[[#This Row],[Data
Pedido]]-Tabela2[[#This Row],[Data Última Aprovação RC]]</f>
        <v>0</v>
      </c>
      <c r="J1354" s="1" t="str">
        <f t="shared" ca="1" si="30"/>
        <v/>
      </c>
      <c r="K1354" s="11">
        <f>Tabela2[[#This Row],[SLA
Padrão]]-Tabela2[[#This Row],[SLA Atendimento]]</f>
        <v>0</v>
      </c>
      <c r="L1354" s="11"/>
      <c r="O1354" s="1" t="s">
        <v>30</v>
      </c>
      <c r="P1354" s="2">
        <f>Tabela2[[#This Row],[Proposta
 Inicial]]-Tabela2[[#This Row],[Proposta
 Negociada]]</f>
        <v>0</v>
      </c>
      <c r="Q1354" s="4" t="e">
        <f>Tabela2[[#This Row],[Proposta
 Negociada]]/Tabela2[[#This Row],[Proposta
 Inicial]]-1</f>
        <v>#DIV/0!</v>
      </c>
      <c r="S1354"/>
    </row>
    <row r="1355" spans="1:19" ht="15" customHeight="1">
      <c r="A1355" s="9"/>
      <c r="B1355" s="9"/>
      <c r="C1355" s="1">
        <f>Tabela2[[#This Row],[Data
Pedido]]-Tabela2[[#This Row],[Data Última Aprovação RC]]</f>
        <v>0</v>
      </c>
      <c r="J1355" s="1" t="str">
        <f t="shared" ca="1" si="30"/>
        <v/>
      </c>
      <c r="K1355" s="11">
        <f>Tabela2[[#This Row],[SLA
Padrão]]-Tabela2[[#This Row],[SLA Atendimento]]</f>
        <v>0</v>
      </c>
      <c r="L1355" s="11"/>
      <c r="O1355" s="1" t="s">
        <v>30</v>
      </c>
      <c r="P1355" s="2">
        <f>Tabela2[[#This Row],[Proposta
 Inicial]]-Tabela2[[#This Row],[Proposta
 Negociada]]</f>
        <v>0</v>
      </c>
      <c r="Q1355" s="4" t="e">
        <f>Tabela2[[#This Row],[Proposta
 Negociada]]/Tabela2[[#This Row],[Proposta
 Inicial]]-1</f>
        <v>#DIV/0!</v>
      </c>
      <c r="S1355"/>
    </row>
    <row r="1356" spans="1:19" ht="15" customHeight="1">
      <c r="A1356" s="9"/>
      <c r="B1356" s="9"/>
      <c r="C1356" s="1">
        <f>Tabela2[[#This Row],[Data
Pedido]]-Tabela2[[#This Row],[Data Última Aprovação RC]]</f>
        <v>0</v>
      </c>
      <c r="J1356" s="1" t="str">
        <f t="shared" ca="1" si="30"/>
        <v/>
      </c>
      <c r="K1356" s="11">
        <f>Tabela2[[#This Row],[SLA
Padrão]]-Tabela2[[#This Row],[SLA Atendimento]]</f>
        <v>0</v>
      </c>
      <c r="L1356" s="11"/>
      <c r="O1356" s="1" t="s">
        <v>30</v>
      </c>
      <c r="P1356" s="2">
        <f>Tabela2[[#This Row],[Proposta
 Inicial]]-Tabela2[[#This Row],[Proposta
 Negociada]]</f>
        <v>0</v>
      </c>
      <c r="Q1356" s="4" t="e">
        <f>Tabela2[[#This Row],[Proposta
 Negociada]]/Tabela2[[#This Row],[Proposta
 Inicial]]-1</f>
        <v>#DIV/0!</v>
      </c>
      <c r="S1356"/>
    </row>
    <row r="1357" spans="1:19" ht="15" customHeight="1">
      <c r="A1357" s="9"/>
      <c r="B1357" s="9"/>
      <c r="C1357" s="1">
        <f>Tabela2[[#This Row],[Data
Pedido]]-Tabela2[[#This Row],[Data Última Aprovação RC]]</f>
        <v>0</v>
      </c>
      <c r="J1357" s="1" t="str">
        <f t="shared" ca="1" si="30"/>
        <v/>
      </c>
      <c r="K1357" s="11">
        <f>Tabela2[[#This Row],[SLA
Padrão]]-Tabela2[[#This Row],[SLA Atendimento]]</f>
        <v>0</v>
      </c>
      <c r="L1357" s="11"/>
      <c r="O1357" s="1" t="s">
        <v>30</v>
      </c>
      <c r="P1357" s="2">
        <f>Tabela2[[#This Row],[Proposta
 Inicial]]-Tabela2[[#This Row],[Proposta
 Negociada]]</f>
        <v>0</v>
      </c>
      <c r="Q1357" s="4" t="e">
        <f>Tabela2[[#This Row],[Proposta
 Negociada]]/Tabela2[[#This Row],[Proposta
 Inicial]]-1</f>
        <v>#DIV/0!</v>
      </c>
      <c r="S1357"/>
    </row>
    <row r="1358" spans="1:19" ht="15" customHeight="1">
      <c r="A1358" s="9"/>
      <c r="B1358" s="9"/>
      <c r="C1358" s="1">
        <f>Tabela2[[#This Row],[Data
Pedido]]-Tabela2[[#This Row],[Data Última Aprovação RC]]</f>
        <v>0</v>
      </c>
      <c r="J1358" s="1" t="str">
        <f t="shared" ca="1" si="30"/>
        <v/>
      </c>
      <c r="K1358" s="11">
        <f>Tabela2[[#This Row],[SLA
Padrão]]-Tabela2[[#This Row],[SLA Atendimento]]</f>
        <v>0</v>
      </c>
      <c r="L1358" s="11"/>
      <c r="O1358" s="1" t="s">
        <v>30</v>
      </c>
      <c r="P1358" s="2">
        <f>Tabela2[[#This Row],[Proposta
 Inicial]]-Tabela2[[#This Row],[Proposta
 Negociada]]</f>
        <v>0</v>
      </c>
      <c r="Q1358" s="4" t="e">
        <f>Tabela2[[#This Row],[Proposta
 Negociada]]/Tabela2[[#This Row],[Proposta
 Inicial]]-1</f>
        <v>#DIV/0!</v>
      </c>
      <c r="S1358"/>
    </row>
    <row r="1359" spans="1:19" ht="15" customHeight="1">
      <c r="A1359" s="9"/>
      <c r="B1359" s="9"/>
      <c r="C1359" s="1">
        <f>Tabela2[[#This Row],[Data
Pedido]]-Tabela2[[#This Row],[Data Última Aprovação RC]]</f>
        <v>0</v>
      </c>
      <c r="J1359" s="1" t="str">
        <f t="shared" ca="1" si="30"/>
        <v/>
      </c>
      <c r="K1359" s="11">
        <f>Tabela2[[#This Row],[SLA
Padrão]]-Tabela2[[#This Row],[SLA Atendimento]]</f>
        <v>0</v>
      </c>
      <c r="L1359" s="11"/>
      <c r="O1359" s="1" t="s">
        <v>30</v>
      </c>
      <c r="P1359" s="2">
        <f>Tabela2[[#This Row],[Proposta
 Inicial]]-Tabela2[[#This Row],[Proposta
 Negociada]]</f>
        <v>0</v>
      </c>
      <c r="Q1359" s="4" t="e">
        <f>Tabela2[[#This Row],[Proposta
 Negociada]]/Tabela2[[#This Row],[Proposta
 Inicial]]-1</f>
        <v>#DIV/0!</v>
      </c>
      <c r="S1359"/>
    </row>
    <row r="1360" spans="1:19" ht="15" customHeight="1">
      <c r="A1360" s="9"/>
      <c r="B1360" s="9"/>
      <c r="C1360" s="1">
        <f>Tabela2[[#This Row],[Data
Pedido]]-Tabela2[[#This Row],[Data Última Aprovação RC]]</f>
        <v>0</v>
      </c>
      <c r="J1360" s="1" t="str">
        <f t="shared" ca="1" si="30"/>
        <v/>
      </c>
      <c r="K1360" s="11">
        <f>Tabela2[[#This Row],[SLA
Padrão]]-Tabela2[[#This Row],[SLA Atendimento]]</f>
        <v>0</v>
      </c>
      <c r="L1360" s="11"/>
      <c r="O1360" s="1" t="s">
        <v>30</v>
      </c>
      <c r="P1360" s="2">
        <f>Tabela2[[#This Row],[Proposta
 Inicial]]-Tabela2[[#This Row],[Proposta
 Negociada]]</f>
        <v>0</v>
      </c>
      <c r="Q1360" s="4" t="e">
        <f>Tabela2[[#This Row],[Proposta
 Negociada]]/Tabela2[[#This Row],[Proposta
 Inicial]]-1</f>
        <v>#DIV/0!</v>
      </c>
      <c r="S1360"/>
    </row>
    <row r="1361" spans="1:19" ht="15" customHeight="1">
      <c r="A1361" s="9"/>
      <c r="B1361" s="9"/>
      <c r="C1361" s="1">
        <f>Tabela2[[#This Row],[Data
Pedido]]-Tabela2[[#This Row],[Data Última Aprovação RC]]</f>
        <v>0</v>
      </c>
      <c r="J1361" s="1" t="str">
        <f t="shared" ca="1" si="30"/>
        <v/>
      </c>
      <c r="K1361" s="11">
        <f>Tabela2[[#This Row],[SLA
Padrão]]-Tabela2[[#This Row],[SLA Atendimento]]</f>
        <v>0</v>
      </c>
      <c r="L1361" s="11"/>
      <c r="O1361" s="1" t="s">
        <v>30</v>
      </c>
      <c r="P1361" s="2">
        <f>Tabela2[[#This Row],[Proposta
 Inicial]]-Tabela2[[#This Row],[Proposta
 Negociada]]</f>
        <v>0</v>
      </c>
      <c r="Q1361" s="4" t="e">
        <f>Tabela2[[#This Row],[Proposta
 Negociada]]/Tabela2[[#This Row],[Proposta
 Inicial]]-1</f>
        <v>#DIV/0!</v>
      </c>
      <c r="S1361"/>
    </row>
    <row r="1362" spans="1:19" ht="15" customHeight="1">
      <c r="A1362" s="9"/>
      <c r="B1362" s="9"/>
      <c r="C1362" s="1">
        <f>Tabela2[[#This Row],[Data
Pedido]]-Tabela2[[#This Row],[Data Última Aprovação RC]]</f>
        <v>0</v>
      </c>
      <c r="J1362" s="1" t="str">
        <f t="shared" ca="1" si="30"/>
        <v/>
      </c>
      <c r="K1362" s="11">
        <f>Tabela2[[#This Row],[SLA
Padrão]]-Tabela2[[#This Row],[SLA Atendimento]]</f>
        <v>0</v>
      </c>
      <c r="L1362" s="11"/>
      <c r="O1362" s="1" t="s">
        <v>30</v>
      </c>
      <c r="P1362" s="2">
        <f>Tabela2[[#This Row],[Proposta
 Inicial]]-Tabela2[[#This Row],[Proposta
 Negociada]]</f>
        <v>0</v>
      </c>
      <c r="Q1362" s="4" t="e">
        <f>Tabela2[[#This Row],[Proposta
 Negociada]]/Tabela2[[#This Row],[Proposta
 Inicial]]-1</f>
        <v>#DIV/0!</v>
      </c>
      <c r="S1362"/>
    </row>
    <row r="1363" spans="1:19" ht="15" customHeight="1">
      <c r="A1363" s="9"/>
      <c r="B1363" s="9"/>
      <c r="C1363" s="1">
        <f>Tabela2[[#This Row],[Data
Pedido]]-Tabela2[[#This Row],[Data Última Aprovação RC]]</f>
        <v>0</v>
      </c>
      <c r="J1363" s="1" t="str">
        <f t="shared" ca="1" si="30"/>
        <v/>
      </c>
      <c r="K1363" s="11">
        <f>Tabela2[[#This Row],[SLA
Padrão]]-Tabela2[[#This Row],[SLA Atendimento]]</f>
        <v>0</v>
      </c>
      <c r="L1363" s="11"/>
      <c r="O1363" s="1" t="s">
        <v>30</v>
      </c>
      <c r="P1363" s="2">
        <f>Tabela2[[#This Row],[Proposta
 Inicial]]-Tabela2[[#This Row],[Proposta
 Negociada]]</f>
        <v>0</v>
      </c>
      <c r="Q1363" s="4" t="e">
        <f>Tabela2[[#This Row],[Proposta
 Negociada]]/Tabela2[[#This Row],[Proposta
 Inicial]]-1</f>
        <v>#DIV/0!</v>
      </c>
      <c r="S1363"/>
    </row>
    <row r="1364" spans="1:19" ht="15" customHeight="1">
      <c r="A1364" s="9"/>
      <c r="B1364" s="9"/>
      <c r="C1364" s="1">
        <f>Tabela2[[#This Row],[Data
Pedido]]-Tabela2[[#This Row],[Data Última Aprovação RC]]</f>
        <v>0</v>
      </c>
      <c r="J1364" s="1" t="str">
        <f t="shared" ca="1" si="30"/>
        <v/>
      </c>
      <c r="K1364" s="11">
        <f>Tabela2[[#This Row],[SLA
Padrão]]-Tabela2[[#This Row],[SLA Atendimento]]</f>
        <v>0</v>
      </c>
      <c r="L1364" s="11"/>
      <c r="O1364" s="1" t="s">
        <v>30</v>
      </c>
      <c r="P1364" s="2">
        <f>Tabela2[[#This Row],[Proposta
 Inicial]]-Tabela2[[#This Row],[Proposta
 Negociada]]</f>
        <v>0</v>
      </c>
      <c r="Q1364" s="4" t="e">
        <f>Tabela2[[#This Row],[Proposta
 Negociada]]/Tabela2[[#This Row],[Proposta
 Inicial]]-1</f>
        <v>#DIV/0!</v>
      </c>
      <c r="S1364"/>
    </row>
    <row r="1365" spans="1:19" ht="15" customHeight="1">
      <c r="A1365" s="9"/>
      <c r="B1365" s="9"/>
      <c r="C1365" s="1">
        <f>Tabela2[[#This Row],[Data
Pedido]]-Tabela2[[#This Row],[Data Última Aprovação RC]]</f>
        <v>0</v>
      </c>
      <c r="J1365" s="1" t="str">
        <f t="shared" ca="1" si="30"/>
        <v/>
      </c>
      <c r="K1365" s="11">
        <f>Tabela2[[#This Row],[SLA
Padrão]]-Tabela2[[#This Row],[SLA Atendimento]]</f>
        <v>0</v>
      </c>
      <c r="L1365" s="11"/>
      <c r="O1365" s="1" t="s">
        <v>30</v>
      </c>
      <c r="P1365" s="2">
        <f>Tabela2[[#This Row],[Proposta
 Inicial]]-Tabela2[[#This Row],[Proposta
 Negociada]]</f>
        <v>0</v>
      </c>
      <c r="Q1365" s="4" t="e">
        <f>Tabela2[[#This Row],[Proposta
 Negociada]]/Tabela2[[#This Row],[Proposta
 Inicial]]-1</f>
        <v>#DIV/0!</v>
      </c>
      <c r="S1365"/>
    </row>
    <row r="1366" spans="1:19" ht="15" customHeight="1">
      <c r="A1366" s="9"/>
      <c r="B1366" s="9"/>
      <c r="C1366" s="1">
        <f>Tabela2[[#This Row],[Data
Pedido]]-Tabela2[[#This Row],[Data Última Aprovação RC]]</f>
        <v>0</v>
      </c>
      <c r="J1366" s="1" t="str">
        <f t="shared" ca="1" si="30"/>
        <v/>
      </c>
      <c r="K1366" s="11">
        <f>Tabela2[[#This Row],[SLA
Padrão]]-Tabela2[[#This Row],[SLA Atendimento]]</f>
        <v>0</v>
      </c>
      <c r="L1366" s="11"/>
      <c r="O1366" s="1" t="s">
        <v>30</v>
      </c>
      <c r="P1366" s="2">
        <f>Tabela2[[#This Row],[Proposta
 Inicial]]-Tabela2[[#This Row],[Proposta
 Negociada]]</f>
        <v>0</v>
      </c>
      <c r="Q1366" s="4" t="e">
        <f>Tabela2[[#This Row],[Proposta
 Negociada]]/Tabela2[[#This Row],[Proposta
 Inicial]]-1</f>
        <v>#DIV/0!</v>
      </c>
      <c r="S1366"/>
    </row>
    <row r="1367" spans="1:19" ht="15" customHeight="1">
      <c r="A1367" s="9"/>
      <c r="B1367" s="9"/>
      <c r="C1367" s="1">
        <f>Tabela2[[#This Row],[Data
Pedido]]-Tabela2[[#This Row],[Data Última Aprovação RC]]</f>
        <v>0</v>
      </c>
      <c r="J1367" s="1" t="str">
        <f t="shared" ca="1" si="30"/>
        <v/>
      </c>
      <c r="K1367" s="11">
        <f>Tabela2[[#This Row],[SLA
Padrão]]-Tabela2[[#This Row],[SLA Atendimento]]</f>
        <v>0</v>
      </c>
      <c r="L1367" s="11"/>
      <c r="O1367" s="1" t="s">
        <v>30</v>
      </c>
      <c r="P1367" s="2">
        <f>Tabela2[[#This Row],[Proposta
 Inicial]]-Tabela2[[#This Row],[Proposta
 Negociada]]</f>
        <v>0</v>
      </c>
      <c r="Q1367" s="4" t="e">
        <f>Tabela2[[#This Row],[Proposta
 Negociada]]/Tabela2[[#This Row],[Proposta
 Inicial]]-1</f>
        <v>#DIV/0!</v>
      </c>
      <c r="S1367"/>
    </row>
    <row r="1368" spans="1:19" ht="15" customHeight="1">
      <c r="A1368" s="9"/>
      <c r="B1368" s="9"/>
      <c r="C1368" s="1">
        <f>Tabela2[[#This Row],[Data
Pedido]]-Tabela2[[#This Row],[Data Última Aprovação RC]]</f>
        <v>0</v>
      </c>
      <c r="J1368" s="1" t="str">
        <f t="shared" ca="1" si="30"/>
        <v/>
      </c>
      <c r="K1368" s="11">
        <f>Tabela2[[#This Row],[SLA
Padrão]]-Tabela2[[#This Row],[SLA Atendimento]]</f>
        <v>0</v>
      </c>
      <c r="L1368" s="11"/>
      <c r="O1368" s="1" t="s">
        <v>30</v>
      </c>
      <c r="P1368" s="2">
        <f>Tabela2[[#This Row],[Proposta
 Inicial]]-Tabela2[[#This Row],[Proposta
 Negociada]]</f>
        <v>0</v>
      </c>
      <c r="Q1368" s="4" t="e">
        <f>Tabela2[[#This Row],[Proposta
 Negociada]]/Tabela2[[#This Row],[Proposta
 Inicial]]-1</f>
        <v>#DIV/0!</v>
      </c>
      <c r="S1368"/>
    </row>
    <row r="1369" spans="1:19" ht="15" customHeight="1">
      <c r="A1369" s="9"/>
      <c r="B1369" s="9"/>
      <c r="C1369" s="1">
        <f>Tabela2[[#This Row],[Data
Pedido]]-Tabela2[[#This Row],[Data Última Aprovação RC]]</f>
        <v>0</v>
      </c>
      <c r="J1369" s="1" t="str">
        <f t="shared" ca="1" si="30"/>
        <v/>
      </c>
      <c r="K1369" s="11">
        <f>Tabela2[[#This Row],[SLA
Padrão]]-Tabela2[[#This Row],[SLA Atendimento]]</f>
        <v>0</v>
      </c>
      <c r="L1369" s="11"/>
      <c r="O1369" s="1" t="s">
        <v>30</v>
      </c>
      <c r="P1369" s="2">
        <f>Tabela2[[#This Row],[Proposta
 Inicial]]-Tabela2[[#This Row],[Proposta
 Negociada]]</f>
        <v>0</v>
      </c>
      <c r="Q1369" s="4" t="e">
        <f>Tabela2[[#This Row],[Proposta
 Negociada]]/Tabela2[[#This Row],[Proposta
 Inicial]]-1</f>
        <v>#DIV/0!</v>
      </c>
      <c r="S1369"/>
    </row>
    <row r="1370" spans="1:19" ht="15" customHeight="1">
      <c r="A1370" s="9"/>
      <c r="B1370" s="9"/>
      <c r="C1370" s="1">
        <f>Tabela2[[#This Row],[Data
Pedido]]-Tabela2[[#This Row],[Data Última Aprovação RC]]</f>
        <v>0</v>
      </c>
      <c r="J1370" s="1" t="str">
        <f t="shared" ca="1" si="30"/>
        <v/>
      </c>
      <c r="K1370" s="11">
        <f>Tabela2[[#This Row],[SLA
Padrão]]-Tabela2[[#This Row],[SLA Atendimento]]</f>
        <v>0</v>
      </c>
      <c r="L1370" s="11"/>
      <c r="O1370" s="1" t="s">
        <v>30</v>
      </c>
      <c r="P1370" s="2">
        <f>Tabela2[[#This Row],[Proposta
 Inicial]]-Tabela2[[#This Row],[Proposta
 Negociada]]</f>
        <v>0</v>
      </c>
      <c r="Q1370" s="4" t="e">
        <f>Tabela2[[#This Row],[Proposta
 Negociada]]/Tabela2[[#This Row],[Proposta
 Inicial]]-1</f>
        <v>#DIV/0!</v>
      </c>
      <c r="S1370"/>
    </row>
    <row r="1371" spans="1:19" ht="15" customHeight="1">
      <c r="A1371" s="9"/>
      <c r="B1371" s="9"/>
      <c r="C1371" s="1">
        <f>Tabela2[[#This Row],[Data
Pedido]]-Tabela2[[#This Row],[Data Última Aprovação RC]]</f>
        <v>0</v>
      </c>
      <c r="J1371" s="1" t="str">
        <f t="shared" ca="1" si="30"/>
        <v/>
      </c>
      <c r="K1371" s="11">
        <f>Tabela2[[#This Row],[SLA
Padrão]]-Tabela2[[#This Row],[SLA Atendimento]]</f>
        <v>0</v>
      </c>
      <c r="L1371" s="11"/>
      <c r="O1371" s="1" t="s">
        <v>30</v>
      </c>
      <c r="P1371" s="2">
        <f>Tabela2[[#This Row],[Proposta
 Inicial]]-Tabela2[[#This Row],[Proposta
 Negociada]]</f>
        <v>0</v>
      </c>
      <c r="Q1371" s="4" t="e">
        <f>Tabela2[[#This Row],[Proposta
 Negociada]]/Tabela2[[#This Row],[Proposta
 Inicial]]-1</f>
        <v>#DIV/0!</v>
      </c>
      <c r="S1371"/>
    </row>
    <row r="1372" spans="1:19" ht="15" customHeight="1">
      <c r="A1372" s="9"/>
      <c r="B1372" s="9"/>
      <c r="C1372" s="1">
        <f>Tabela2[[#This Row],[Data
Pedido]]-Tabela2[[#This Row],[Data Última Aprovação RC]]</f>
        <v>0</v>
      </c>
      <c r="J1372" s="1" t="str">
        <f t="shared" ca="1" si="30"/>
        <v/>
      </c>
      <c r="K1372" s="11">
        <f>Tabela2[[#This Row],[SLA
Padrão]]-Tabela2[[#This Row],[SLA Atendimento]]</f>
        <v>0</v>
      </c>
      <c r="L1372" s="11"/>
      <c r="O1372" s="1" t="s">
        <v>30</v>
      </c>
      <c r="P1372" s="2">
        <f>Tabela2[[#This Row],[Proposta
 Inicial]]-Tabela2[[#This Row],[Proposta
 Negociada]]</f>
        <v>0</v>
      </c>
      <c r="Q1372" s="4" t="e">
        <f>Tabela2[[#This Row],[Proposta
 Negociada]]/Tabela2[[#This Row],[Proposta
 Inicial]]-1</f>
        <v>#DIV/0!</v>
      </c>
      <c r="S1372"/>
    </row>
    <row r="1373" spans="1:19" ht="15" customHeight="1">
      <c r="A1373" s="9"/>
      <c r="B1373" s="9"/>
      <c r="C1373" s="1">
        <f>Tabela2[[#This Row],[Data
Pedido]]-Tabela2[[#This Row],[Data Última Aprovação RC]]</f>
        <v>0</v>
      </c>
      <c r="J1373" s="1" t="str">
        <f t="shared" ca="1" si="30"/>
        <v/>
      </c>
      <c r="K1373" s="11">
        <f>Tabela2[[#This Row],[SLA
Padrão]]-Tabela2[[#This Row],[SLA Atendimento]]</f>
        <v>0</v>
      </c>
      <c r="L1373" s="11"/>
      <c r="O1373" s="1" t="s">
        <v>30</v>
      </c>
      <c r="P1373" s="2">
        <f>Tabela2[[#This Row],[Proposta
 Inicial]]-Tabela2[[#This Row],[Proposta
 Negociada]]</f>
        <v>0</v>
      </c>
      <c r="Q1373" s="4" t="e">
        <f>Tabela2[[#This Row],[Proposta
 Negociada]]/Tabela2[[#This Row],[Proposta
 Inicial]]-1</f>
        <v>#DIV/0!</v>
      </c>
      <c r="S1373"/>
    </row>
    <row r="1374" spans="1:19" ht="15" customHeight="1">
      <c r="A1374" s="9"/>
      <c r="B1374" s="9"/>
      <c r="C1374" s="1">
        <f>Tabela2[[#This Row],[Data
Pedido]]-Tabela2[[#This Row],[Data Última Aprovação RC]]</f>
        <v>0</v>
      </c>
      <c r="J1374" s="1" t="str">
        <f t="shared" ca="1" si="30"/>
        <v/>
      </c>
      <c r="K1374" s="11">
        <f>Tabela2[[#This Row],[SLA
Padrão]]-Tabela2[[#This Row],[SLA Atendimento]]</f>
        <v>0</v>
      </c>
      <c r="L1374" s="11"/>
      <c r="O1374" s="1" t="s">
        <v>30</v>
      </c>
      <c r="P1374" s="2">
        <f>Tabela2[[#This Row],[Proposta
 Inicial]]-Tabela2[[#This Row],[Proposta
 Negociada]]</f>
        <v>0</v>
      </c>
      <c r="Q1374" s="4" t="e">
        <f>Tabela2[[#This Row],[Proposta
 Negociada]]/Tabela2[[#This Row],[Proposta
 Inicial]]-1</f>
        <v>#DIV/0!</v>
      </c>
      <c r="S1374"/>
    </row>
    <row r="1375" spans="1:19" ht="15" customHeight="1">
      <c r="A1375" s="9"/>
      <c r="B1375" s="9"/>
      <c r="C1375" s="1">
        <f>Tabela2[[#This Row],[Data
Pedido]]-Tabela2[[#This Row],[Data Última Aprovação RC]]</f>
        <v>0</v>
      </c>
      <c r="J1375" s="1" t="str">
        <f t="shared" ca="1" si="30"/>
        <v/>
      </c>
      <c r="K1375" s="11">
        <f>Tabela2[[#This Row],[SLA
Padrão]]-Tabela2[[#This Row],[SLA Atendimento]]</f>
        <v>0</v>
      </c>
      <c r="L1375" s="11"/>
      <c r="O1375" s="1" t="s">
        <v>30</v>
      </c>
      <c r="P1375" s="2">
        <f>Tabela2[[#This Row],[Proposta
 Inicial]]-Tabela2[[#This Row],[Proposta
 Negociada]]</f>
        <v>0</v>
      </c>
      <c r="Q1375" s="4" t="e">
        <f>Tabela2[[#This Row],[Proposta
 Negociada]]/Tabela2[[#This Row],[Proposta
 Inicial]]-1</f>
        <v>#DIV/0!</v>
      </c>
      <c r="S1375"/>
    </row>
    <row r="1376" spans="1:19" ht="15" customHeight="1">
      <c r="A1376" s="9"/>
      <c r="B1376" s="9"/>
      <c r="C1376" s="1">
        <f>Tabela2[[#This Row],[Data
Pedido]]-Tabela2[[#This Row],[Data Última Aprovação RC]]</f>
        <v>0</v>
      </c>
      <c r="J1376" s="1" t="str">
        <f t="shared" ca="1" si="30"/>
        <v/>
      </c>
      <c r="K1376" s="11">
        <f>Tabela2[[#This Row],[SLA
Padrão]]-Tabela2[[#This Row],[SLA Atendimento]]</f>
        <v>0</v>
      </c>
      <c r="L1376" s="11"/>
      <c r="O1376" s="1" t="s">
        <v>30</v>
      </c>
      <c r="P1376" s="2">
        <f>Tabela2[[#This Row],[Proposta
 Inicial]]-Tabela2[[#This Row],[Proposta
 Negociada]]</f>
        <v>0</v>
      </c>
      <c r="Q1376" s="4" t="e">
        <f>Tabela2[[#This Row],[Proposta
 Negociada]]/Tabela2[[#This Row],[Proposta
 Inicial]]-1</f>
        <v>#DIV/0!</v>
      </c>
      <c r="S1376"/>
    </row>
    <row r="1377" spans="1:19" ht="15" customHeight="1">
      <c r="A1377" s="9"/>
      <c r="B1377" s="9"/>
      <c r="C1377" s="1">
        <f>Tabela2[[#This Row],[Data
Pedido]]-Tabela2[[#This Row],[Data Última Aprovação RC]]</f>
        <v>0</v>
      </c>
      <c r="J1377" s="1" t="str">
        <f t="shared" ca="1" si="30"/>
        <v/>
      </c>
      <c r="K1377" s="11">
        <f>Tabela2[[#This Row],[SLA
Padrão]]-Tabela2[[#This Row],[SLA Atendimento]]</f>
        <v>0</v>
      </c>
      <c r="L1377" s="11"/>
      <c r="O1377" s="1" t="s">
        <v>30</v>
      </c>
      <c r="P1377" s="2">
        <f>Tabela2[[#This Row],[Proposta
 Inicial]]-Tabela2[[#This Row],[Proposta
 Negociada]]</f>
        <v>0</v>
      </c>
      <c r="Q1377" s="4" t="e">
        <f>Tabela2[[#This Row],[Proposta
 Negociada]]/Tabela2[[#This Row],[Proposta
 Inicial]]-1</f>
        <v>#DIV/0!</v>
      </c>
      <c r="S1377"/>
    </row>
    <row r="1378" spans="1:19" ht="15" customHeight="1">
      <c r="A1378" s="9"/>
      <c r="B1378" s="9"/>
      <c r="C1378" s="1">
        <f>Tabela2[[#This Row],[Data
Pedido]]-Tabela2[[#This Row],[Data Última Aprovação RC]]</f>
        <v>0</v>
      </c>
      <c r="J1378" s="1" t="str">
        <f t="shared" ca="1" si="30"/>
        <v/>
      </c>
      <c r="K1378" s="11">
        <f>Tabela2[[#This Row],[SLA
Padrão]]-Tabela2[[#This Row],[SLA Atendimento]]</f>
        <v>0</v>
      </c>
      <c r="L1378" s="11"/>
      <c r="O1378" s="1" t="s">
        <v>30</v>
      </c>
      <c r="P1378" s="2">
        <f>Tabela2[[#This Row],[Proposta
 Inicial]]-Tabela2[[#This Row],[Proposta
 Negociada]]</f>
        <v>0</v>
      </c>
      <c r="Q1378" s="4" t="e">
        <f>Tabela2[[#This Row],[Proposta
 Negociada]]/Tabela2[[#This Row],[Proposta
 Inicial]]-1</f>
        <v>#DIV/0!</v>
      </c>
      <c r="S1378"/>
    </row>
    <row r="1379" spans="1:19" ht="15" customHeight="1">
      <c r="A1379" s="9"/>
      <c r="B1379" s="9"/>
      <c r="C1379" s="1">
        <f>Tabela2[[#This Row],[Data
Pedido]]-Tabela2[[#This Row],[Data Última Aprovação RC]]</f>
        <v>0</v>
      </c>
      <c r="J1379" s="1" t="str">
        <f t="shared" ca="1" si="30"/>
        <v/>
      </c>
      <c r="K1379" s="11">
        <f>Tabela2[[#This Row],[SLA
Padrão]]-Tabela2[[#This Row],[SLA Atendimento]]</f>
        <v>0</v>
      </c>
      <c r="L1379" s="11"/>
      <c r="O1379" s="1" t="s">
        <v>30</v>
      </c>
      <c r="P1379" s="2">
        <f>Tabela2[[#This Row],[Proposta
 Inicial]]-Tabela2[[#This Row],[Proposta
 Negociada]]</f>
        <v>0</v>
      </c>
      <c r="Q1379" s="4" t="e">
        <f>Tabela2[[#This Row],[Proposta
 Negociada]]/Tabela2[[#This Row],[Proposta
 Inicial]]-1</f>
        <v>#DIV/0!</v>
      </c>
      <c r="S1379"/>
    </row>
    <row r="1380" spans="1:19" ht="15" customHeight="1">
      <c r="A1380" s="9"/>
      <c r="B1380" s="9"/>
      <c r="C1380" s="1">
        <f>Tabela2[[#This Row],[Data
Pedido]]-Tabela2[[#This Row],[Data Última Aprovação RC]]</f>
        <v>0</v>
      </c>
      <c r="J1380" s="1" t="str">
        <f t="shared" ca="1" si="30"/>
        <v/>
      </c>
      <c r="K1380" s="11">
        <f>Tabela2[[#This Row],[SLA
Padrão]]-Tabela2[[#This Row],[SLA Atendimento]]</f>
        <v>0</v>
      </c>
      <c r="L1380" s="11"/>
      <c r="O1380" s="1" t="s">
        <v>30</v>
      </c>
      <c r="P1380" s="2">
        <f>Tabela2[[#This Row],[Proposta
 Inicial]]-Tabela2[[#This Row],[Proposta
 Negociada]]</f>
        <v>0</v>
      </c>
      <c r="Q1380" s="4" t="e">
        <f>Tabela2[[#This Row],[Proposta
 Negociada]]/Tabela2[[#This Row],[Proposta
 Inicial]]-1</f>
        <v>#DIV/0!</v>
      </c>
      <c r="S1380"/>
    </row>
    <row r="1381" spans="1:19" ht="15" customHeight="1">
      <c r="A1381" s="9"/>
      <c r="B1381" s="9"/>
      <c r="C1381" s="1">
        <f>Tabela2[[#This Row],[Data
Pedido]]-Tabela2[[#This Row],[Data Última Aprovação RC]]</f>
        <v>0</v>
      </c>
      <c r="J1381" s="1" t="str">
        <f t="shared" ca="1" si="30"/>
        <v/>
      </c>
      <c r="K1381" s="11">
        <f>Tabela2[[#This Row],[SLA
Padrão]]-Tabela2[[#This Row],[SLA Atendimento]]</f>
        <v>0</v>
      </c>
      <c r="L1381" s="11"/>
      <c r="O1381" s="1" t="s">
        <v>30</v>
      </c>
      <c r="P1381" s="2">
        <f>Tabela2[[#This Row],[Proposta
 Inicial]]-Tabela2[[#This Row],[Proposta
 Negociada]]</f>
        <v>0</v>
      </c>
      <c r="Q1381" s="4" t="e">
        <f>Tabela2[[#This Row],[Proposta
 Negociada]]/Tabela2[[#This Row],[Proposta
 Inicial]]-1</f>
        <v>#DIV/0!</v>
      </c>
      <c r="S1381"/>
    </row>
    <row r="1382" spans="1:19" ht="15" customHeight="1">
      <c r="A1382" s="9"/>
      <c r="B1382" s="9"/>
      <c r="C1382" s="1">
        <f>Tabela2[[#This Row],[Data
Pedido]]-Tabela2[[#This Row],[Data Última Aprovação RC]]</f>
        <v>0</v>
      </c>
      <c r="J1382" s="1" t="str">
        <f t="shared" ca="1" si="30"/>
        <v/>
      </c>
      <c r="K1382" s="11">
        <f>Tabela2[[#This Row],[SLA
Padrão]]-Tabela2[[#This Row],[SLA Atendimento]]</f>
        <v>0</v>
      </c>
      <c r="L1382" s="11"/>
      <c r="O1382" s="1" t="s">
        <v>30</v>
      </c>
      <c r="P1382" s="2">
        <f>Tabela2[[#This Row],[Proposta
 Inicial]]-Tabela2[[#This Row],[Proposta
 Negociada]]</f>
        <v>0</v>
      </c>
      <c r="Q1382" s="4" t="e">
        <f>Tabela2[[#This Row],[Proposta
 Negociada]]/Tabela2[[#This Row],[Proposta
 Inicial]]-1</f>
        <v>#DIV/0!</v>
      </c>
      <c r="S1382"/>
    </row>
    <row r="1383" spans="1:19" ht="15" customHeight="1">
      <c r="A1383" s="9"/>
      <c r="B1383" s="9"/>
      <c r="C1383" s="1">
        <f>Tabela2[[#This Row],[Data
Pedido]]-Tabela2[[#This Row],[Data Última Aprovação RC]]</f>
        <v>0</v>
      </c>
      <c r="J1383" s="1" t="str">
        <f t="shared" ca="1" si="30"/>
        <v/>
      </c>
      <c r="K1383" s="11">
        <f>Tabela2[[#This Row],[SLA
Padrão]]-Tabela2[[#This Row],[SLA Atendimento]]</f>
        <v>0</v>
      </c>
      <c r="L1383" s="11"/>
      <c r="O1383" s="1" t="s">
        <v>30</v>
      </c>
      <c r="P1383" s="2">
        <f>Tabela2[[#This Row],[Proposta
 Inicial]]-Tabela2[[#This Row],[Proposta
 Negociada]]</f>
        <v>0</v>
      </c>
      <c r="Q1383" s="4" t="e">
        <f>Tabela2[[#This Row],[Proposta
 Negociada]]/Tabela2[[#This Row],[Proposta
 Inicial]]-1</f>
        <v>#DIV/0!</v>
      </c>
      <c r="S1383"/>
    </row>
    <row r="1384" spans="1:19" ht="15" customHeight="1">
      <c r="A1384" s="9"/>
      <c r="B1384" s="9"/>
      <c r="C1384" s="1">
        <f>Tabela2[[#This Row],[Data
Pedido]]-Tabela2[[#This Row],[Data Última Aprovação RC]]</f>
        <v>0</v>
      </c>
      <c r="J1384" s="1" t="str">
        <f t="shared" ca="1" si="30"/>
        <v/>
      </c>
      <c r="K1384" s="11">
        <f>Tabela2[[#This Row],[SLA
Padrão]]-Tabela2[[#This Row],[SLA Atendimento]]</f>
        <v>0</v>
      </c>
      <c r="L1384" s="11"/>
      <c r="O1384" s="1" t="s">
        <v>30</v>
      </c>
      <c r="P1384" s="2">
        <f>Tabela2[[#This Row],[Proposta
 Inicial]]-Tabela2[[#This Row],[Proposta
 Negociada]]</f>
        <v>0</v>
      </c>
      <c r="Q1384" s="4" t="e">
        <f>Tabela2[[#This Row],[Proposta
 Negociada]]/Tabela2[[#This Row],[Proposta
 Inicial]]-1</f>
        <v>#DIV/0!</v>
      </c>
      <c r="S1384"/>
    </row>
    <row r="1385" spans="1:19" ht="15" customHeight="1">
      <c r="A1385" s="9"/>
      <c r="B1385" s="9"/>
      <c r="C1385" s="1">
        <f>Tabela2[[#This Row],[Data
Pedido]]-Tabela2[[#This Row],[Data Última Aprovação RC]]</f>
        <v>0</v>
      </c>
      <c r="J1385" s="1" t="str">
        <f t="shared" ca="1" si="30"/>
        <v/>
      </c>
      <c r="K1385" s="11">
        <f>Tabela2[[#This Row],[SLA
Padrão]]-Tabela2[[#This Row],[SLA Atendimento]]</f>
        <v>0</v>
      </c>
      <c r="L1385" s="11"/>
      <c r="O1385" s="1" t="s">
        <v>30</v>
      </c>
      <c r="P1385" s="2">
        <f>Tabela2[[#This Row],[Proposta
 Inicial]]-Tabela2[[#This Row],[Proposta
 Negociada]]</f>
        <v>0</v>
      </c>
      <c r="Q1385" s="4" t="e">
        <f>Tabela2[[#This Row],[Proposta
 Negociada]]/Tabela2[[#This Row],[Proposta
 Inicial]]-1</f>
        <v>#DIV/0!</v>
      </c>
      <c r="S1385"/>
    </row>
    <row r="1386" spans="1:19" ht="15" customHeight="1">
      <c r="A1386" s="9"/>
      <c r="B1386" s="9"/>
      <c r="C1386" s="1">
        <f>Tabela2[[#This Row],[Data
Pedido]]-Tabela2[[#This Row],[Data Última Aprovação RC]]</f>
        <v>0</v>
      </c>
      <c r="J1386" s="1" t="str">
        <f t="shared" ca="1" si="30"/>
        <v/>
      </c>
      <c r="K1386" s="11">
        <f>Tabela2[[#This Row],[SLA
Padrão]]-Tabela2[[#This Row],[SLA Atendimento]]</f>
        <v>0</v>
      </c>
      <c r="L1386" s="11"/>
      <c r="O1386" s="1" t="s">
        <v>30</v>
      </c>
      <c r="P1386" s="2">
        <f>Tabela2[[#This Row],[Proposta
 Inicial]]-Tabela2[[#This Row],[Proposta
 Negociada]]</f>
        <v>0</v>
      </c>
      <c r="Q1386" s="4" t="e">
        <f>Tabela2[[#This Row],[Proposta
 Negociada]]/Tabela2[[#This Row],[Proposta
 Inicial]]-1</f>
        <v>#DIV/0!</v>
      </c>
      <c r="S1386"/>
    </row>
    <row r="1387" spans="1:19" ht="15" customHeight="1">
      <c r="A1387" s="9"/>
      <c r="B1387" s="9"/>
      <c r="C1387" s="1">
        <f>Tabela2[[#This Row],[Data
Pedido]]-Tabela2[[#This Row],[Data Última Aprovação RC]]</f>
        <v>0</v>
      </c>
      <c r="J1387" s="1" t="str">
        <f t="shared" ref="J1387:J1396" ca="1" si="31">IF(A1387="","",IF(B1387="",IF(TODAY()-A1387&gt;I1387,"ATRASADA","EM ANDAMENTO"),IF(B1387-A1387&gt;I1387,"ATRASADA","NO PRAZO")))</f>
        <v/>
      </c>
      <c r="K1387" s="11">
        <f>Tabela2[[#This Row],[SLA
Padrão]]-Tabela2[[#This Row],[SLA Atendimento]]</f>
        <v>0</v>
      </c>
      <c r="L1387" s="11"/>
      <c r="O1387" s="1" t="s">
        <v>30</v>
      </c>
      <c r="P1387" s="2">
        <f>Tabela2[[#This Row],[Proposta
 Inicial]]-Tabela2[[#This Row],[Proposta
 Negociada]]</f>
        <v>0</v>
      </c>
      <c r="Q1387" s="4" t="e">
        <f>Tabela2[[#This Row],[Proposta
 Negociada]]/Tabela2[[#This Row],[Proposta
 Inicial]]-1</f>
        <v>#DIV/0!</v>
      </c>
      <c r="S1387"/>
    </row>
    <row r="1388" spans="1:19" ht="15" customHeight="1">
      <c r="A1388" s="9"/>
      <c r="B1388" s="9"/>
      <c r="C1388" s="1">
        <f>Tabela2[[#This Row],[Data
Pedido]]-Tabela2[[#This Row],[Data Última Aprovação RC]]</f>
        <v>0</v>
      </c>
      <c r="J1388" s="1" t="str">
        <f t="shared" ca="1" si="31"/>
        <v/>
      </c>
      <c r="K1388" s="11">
        <f>Tabela2[[#This Row],[SLA
Padrão]]-Tabela2[[#This Row],[SLA Atendimento]]</f>
        <v>0</v>
      </c>
      <c r="L1388" s="11"/>
      <c r="O1388" s="1" t="s">
        <v>30</v>
      </c>
      <c r="P1388" s="2">
        <f>Tabela2[[#This Row],[Proposta
 Inicial]]-Tabela2[[#This Row],[Proposta
 Negociada]]</f>
        <v>0</v>
      </c>
      <c r="Q1388" s="4" t="e">
        <f>Tabela2[[#This Row],[Proposta
 Negociada]]/Tabela2[[#This Row],[Proposta
 Inicial]]-1</f>
        <v>#DIV/0!</v>
      </c>
      <c r="S1388"/>
    </row>
    <row r="1389" spans="1:19" ht="15" customHeight="1">
      <c r="A1389" s="9"/>
      <c r="B1389" s="9"/>
      <c r="C1389" s="1">
        <f>Tabela2[[#This Row],[Data
Pedido]]-Tabela2[[#This Row],[Data Última Aprovação RC]]</f>
        <v>0</v>
      </c>
      <c r="J1389" s="1" t="str">
        <f t="shared" ca="1" si="31"/>
        <v/>
      </c>
      <c r="K1389" s="11">
        <f>Tabela2[[#This Row],[SLA
Padrão]]-Tabela2[[#This Row],[SLA Atendimento]]</f>
        <v>0</v>
      </c>
      <c r="L1389" s="11"/>
      <c r="O1389" s="1" t="s">
        <v>30</v>
      </c>
      <c r="P1389" s="2">
        <f>Tabela2[[#This Row],[Proposta
 Inicial]]-Tabela2[[#This Row],[Proposta
 Negociada]]</f>
        <v>0</v>
      </c>
      <c r="Q1389" s="4" t="e">
        <f>Tabela2[[#This Row],[Proposta
 Negociada]]/Tabela2[[#This Row],[Proposta
 Inicial]]-1</f>
        <v>#DIV/0!</v>
      </c>
      <c r="S1389"/>
    </row>
    <row r="1390" spans="1:19" ht="15" customHeight="1">
      <c r="A1390" s="9"/>
      <c r="B1390" s="9"/>
      <c r="C1390" s="1">
        <f>Tabela2[[#This Row],[Data
Pedido]]-Tabela2[[#This Row],[Data Última Aprovação RC]]</f>
        <v>0</v>
      </c>
      <c r="J1390" s="1" t="str">
        <f t="shared" ca="1" si="31"/>
        <v/>
      </c>
      <c r="K1390" s="11">
        <f>Tabela2[[#This Row],[SLA
Padrão]]-Tabela2[[#This Row],[SLA Atendimento]]</f>
        <v>0</v>
      </c>
      <c r="L1390" s="11"/>
      <c r="O1390" s="1" t="s">
        <v>30</v>
      </c>
      <c r="P1390" s="2">
        <f>Tabela2[[#This Row],[Proposta
 Inicial]]-Tabela2[[#This Row],[Proposta
 Negociada]]</f>
        <v>0</v>
      </c>
      <c r="Q1390" s="4" t="e">
        <f>Tabela2[[#This Row],[Proposta
 Negociada]]/Tabela2[[#This Row],[Proposta
 Inicial]]-1</f>
        <v>#DIV/0!</v>
      </c>
      <c r="S1390"/>
    </row>
    <row r="1391" spans="1:19" ht="15" customHeight="1">
      <c r="A1391" s="9"/>
      <c r="B1391" s="9"/>
      <c r="C1391" s="1">
        <f>Tabela2[[#This Row],[Data
Pedido]]-Tabela2[[#This Row],[Data Última Aprovação RC]]</f>
        <v>0</v>
      </c>
      <c r="J1391" s="1" t="str">
        <f t="shared" ca="1" si="31"/>
        <v/>
      </c>
      <c r="K1391" s="11">
        <f>Tabela2[[#This Row],[SLA
Padrão]]-Tabela2[[#This Row],[SLA Atendimento]]</f>
        <v>0</v>
      </c>
      <c r="L1391" s="11"/>
      <c r="O1391" s="1" t="s">
        <v>30</v>
      </c>
      <c r="P1391" s="2">
        <f>Tabela2[[#This Row],[Proposta
 Inicial]]-Tabela2[[#This Row],[Proposta
 Negociada]]</f>
        <v>0</v>
      </c>
      <c r="Q1391" s="4" t="e">
        <f>Tabela2[[#This Row],[Proposta
 Negociada]]/Tabela2[[#This Row],[Proposta
 Inicial]]-1</f>
        <v>#DIV/0!</v>
      </c>
      <c r="S1391"/>
    </row>
    <row r="1392" spans="1:19" ht="15" customHeight="1">
      <c r="A1392" s="9"/>
      <c r="B1392" s="9"/>
      <c r="C1392" s="1">
        <f>Tabela2[[#This Row],[Data
Pedido]]-Tabela2[[#This Row],[Data Última Aprovação RC]]</f>
        <v>0</v>
      </c>
      <c r="J1392" s="1" t="str">
        <f t="shared" ca="1" si="31"/>
        <v/>
      </c>
      <c r="K1392" s="11">
        <f>Tabela2[[#This Row],[SLA
Padrão]]-Tabela2[[#This Row],[SLA Atendimento]]</f>
        <v>0</v>
      </c>
      <c r="L1392" s="11"/>
      <c r="O1392" s="1" t="s">
        <v>30</v>
      </c>
      <c r="P1392" s="2">
        <f>Tabela2[[#This Row],[Proposta
 Inicial]]-Tabela2[[#This Row],[Proposta
 Negociada]]</f>
        <v>0</v>
      </c>
      <c r="Q1392" s="4" t="e">
        <f>Tabela2[[#This Row],[Proposta
 Negociada]]/Tabela2[[#This Row],[Proposta
 Inicial]]-1</f>
        <v>#DIV/0!</v>
      </c>
      <c r="S1392"/>
    </row>
    <row r="1393" spans="1:19" ht="15" customHeight="1">
      <c r="A1393" s="9"/>
      <c r="B1393" s="9"/>
      <c r="C1393" s="1">
        <f>Tabela2[[#This Row],[Data
Pedido]]-Tabela2[[#This Row],[Data Última Aprovação RC]]</f>
        <v>0</v>
      </c>
      <c r="J1393" s="1" t="str">
        <f t="shared" ca="1" si="31"/>
        <v/>
      </c>
      <c r="K1393" s="11">
        <f>Tabela2[[#This Row],[SLA
Padrão]]-Tabela2[[#This Row],[SLA Atendimento]]</f>
        <v>0</v>
      </c>
      <c r="L1393" s="11"/>
      <c r="O1393" s="1" t="s">
        <v>30</v>
      </c>
      <c r="P1393" s="2">
        <f>Tabela2[[#This Row],[Proposta
 Inicial]]-Tabela2[[#This Row],[Proposta
 Negociada]]</f>
        <v>0</v>
      </c>
      <c r="Q1393" s="4" t="e">
        <f>Tabela2[[#This Row],[Proposta
 Negociada]]/Tabela2[[#This Row],[Proposta
 Inicial]]-1</f>
        <v>#DIV/0!</v>
      </c>
      <c r="S1393"/>
    </row>
    <row r="1394" spans="1:19" ht="15" customHeight="1">
      <c r="A1394" s="9"/>
      <c r="B1394" s="9"/>
      <c r="C1394" s="1">
        <f>Tabela2[[#This Row],[Data
Pedido]]-Tabela2[[#This Row],[Data Última Aprovação RC]]</f>
        <v>0</v>
      </c>
      <c r="J1394" s="1" t="str">
        <f t="shared" ca="1" si="31"/>
        <v/>
      </c>
      <c r="K1394" s="11">
        <f>Tabela2[[#This Row],[SLA
Padrão]]-Tabela2[[#This Row],[SLA Atendimento]]</f>
        <v>0</v>
      </c>
      <c r="L1394" s="11"/>
      <c r="O1394" s="1" t="s">
        <v>30</v>
      </c>
      <c r="P1394" s="2">
        <f>Tabela2[[#This Row],[Proposta
 Inicial]]-Tabela2[[#This Row],[Proposta
 Negociada]]</f>
        <v>0</v>
      </c>
      <c r="Q1394" s="4" t="e">
        <f>Tabela2[[#This Row],[Proposta
 Negociada]]/Tabela2[[#This Row],[Proposta
 Inicial]]-1</f>
        <v>#DIV/0!</v>
      </c>
      <c r="S1394"/>
    </row>
    <row r="1395" spans="1:19" ht="15" customHeight="1">
      <c r="A1395" s="9"/>
      <c r="B1395" s="9"/>
      <c r="C1395" s="1">
        <f>Tabela2[[#This Row],[Data
Pedido]]-Tabela2[[#This Row],[Data Última Aprovação RC]]</f>
        <v>0</v>
      </c>
      <c r="J1395" s="1" t="str">
        <f t="shared" ca="1" si="31"/>
        <v/>
      </c>
      <c r="K1395" s="11">
        <f>Tabela2[[#This Row],[SLA
Padrão]]-Tabela2[[#This Row],[SLA Atendimento]]</f>
        <v>0</v>
      </c>
      <c r="L1395" s="11"/>
      <c r="O1395" s="1" t="s">
        <v>30</v>
      </c>
      <c r="P1395" s="2">
        <f>Tabela2[[#This Row],[Proposta
 Inicial]]-Tabela2[[#This Row],[Proposta
 Negociada]]</f>
        <v>0</v>
      </c>
      <c r="Q1395" s="4" t="e">
        <f>Tabela2[[#This Row],[Proposta
 Negociada]]/Tabela2[[#This Row],[Proposta
 Inicial]]-1</f>
        <v>#DIV/0!</v>
      </c>
      <c r="S1395"/>
    </row>
    <row r="1396" spans="1:19" ht="15" customHeight="1">
      <c r="A1396" s="9"/>
      <c r="B1396" s="9"/>
      <c r="C1396" s="1">
        <f>Tabela2[[#This Row],[Data
Pedido]]-Tabela2[[#This Row],[Data Última Aprovação RC]]</f>
        <v>0</v>
      </c>
      <c r="J1396" s="1" t="str">
        <f t="shared" ca="1" si="31"/>
        <v/>
      </c>
      <c r="K1396" s="11">
        <f>Tabela2[[#This Row],[SLA
Padrão]]-Tabela2[[#This Row],[SLA Atendimento]]</f>
        <v>0</v>
      </c>
      <c r="L1396" s="11"/>
      <c r="O1396" s="1" t="s">
        <v>30</v>
      </c>
      <c r="P1396" s="2">
        <f>Tabela2[[#This Row],[Proposta
 Inicial]]-Tabela2[[#This Row],[Proposta
 Negociada]]</f>
        <v>0</v>
      </c>
      <c r="Q1396" s="4" t="e">
        <f>Tabela2[[#This Row],[Proposta
 Negociada]]/Tabela2[[#This Row],[Proposta
 Inicial]]-1</f>
        <v>#DIV/0!</v>
      </c>
      <c r="S1396"/>
    </row>
    <row r="1397" spans="1:19" ht="15" customHeight="1">
      <c r="A1397" s="82"/>
      <c r="B1397" s="9"/>
      <c r="K1397" s="11"/>
      <c r="L1397" s="11"/>
      <c r="S1397"/>
    </row>
    <row r="1398" spans="1:19" ht="15" customHeight="1">
      <c r="A1398" s="82"/>
      <c r="B1398" s="9"/>
      <c r="C1398" s="1">
        <f>Tabela2[[#This Row],[Data
Pedido]]-Tabela2[[#This Row],[Data Última Aprovação RC]]</f>
        <v>0</v>
      </c>
      <c r="J1398" s="1" t="str">
        <f ca="1">IF(A1398="","",IF(B1398="",IF(TODAY()-A1398&gt;I1398,"ATRASADA","EM ANDAMENTO"),IF(B1398-A1398&gt;I1398,"ATRASADA","NO PRAZO")))</f>
        <v/>
      </c>
      <c r="K1398" s="11">
        <f>Tabela2[[#This Row],[SLA
Padrão]]-Tabela2[[#This Row],[SLA Atendimento]]</f>
        <v>0</v>
      </c>
      <c r="L1398" s="11"/>
      <c r="P1398" s="2">
        <f>Tabela2[[#This Row],[Proposta
 Inicial]]-Tabela2[[#This Row],[Proposta
 Negociada]]</f>
        <v>0</v>
      </c>
      <c r="Q1398" s="4" t="e">
        <f>Tabela2[[#This Row],[Proposta
 Negociada]]/Tabela2[[#This Row],[Proposta
 Inicial]]-1</f>
        <v>#DIV/0!</v>
      </c>
      <c r="S1398"/>
    </row>
  </sheetData>
  <dataValidations count="2">
    <dataValidation allowBlank="1" showInputMessage="1" showErrorMessage="1" promptTitle="Cost Avoidance; Saving" sqref="R1:S1" xr:uid="{00000000-0002-0000-0000-000000000000}"/>
    <dataValidation type="list" allowBlank="1" showInputMessage="1" showErrorMessage="1" sqref="R2:R1398" xr:uid="{00000000-0002-0000-0000-000001000000}">
      <formula1>"Saving,Cost Avoidance"</formula1>
    </dataValidation>
  </dataValidations>
  <hyperlinks>
    <hyperlink ref="F59" r:id="rId1" location="origin_type=cart" xr:uid="{38B9C177-E3A1-4EB3-9988-8F090195E31D}"/>
  </hyperlinks>
  <pageMargins left="0.75" right="0.75" top="1" bottom="1" header="0.5" footer="0.5"/>
  <pageSetup orientation="portrait" horizontalDpi="360" verticalDpi="360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D651FCD4-4F9E-4A82-B43F-1CA181FAB45C}">
          <x14:formula1>
            <xm:f>Planilha1!$F$1:$F$16</xm:f>
          </x14:formula1>
          <xm:sqref>E2:E6 E21:E29 E365:E1396 E9:E19</xm:sqref>
        </x14:dataValidation>
        <x14:dataValidation type="list" allowBlank="1" showInputMessage="1" showErrorMessage="1" xr:uid="{03B48D5C-01FF-4FCC-BC64-B6B01DD2A3D1}">
          <x14:formula1>
            <xm:f>Planilha1!$F$1:$F$17</xm:f>
          </x14:formula1>
          <xm:sqref>E7</xm:sqref>
        </x14:dataValidation>
        <x14:dataValidation type="list" allowBlank="1" showInputMessage="1" showErrorMessage="1" xr:uid="{8C0F3006-7BA9-437D-8E9D-14F640099CB8}">
          <x14:formula1>
            <xm:f>Planilha1!$F$1:$F$19</xm:f>
          </x14:formula1>
          <xm:sqref>E8 E35:E364 E1397</xm:sqref>
        </x14:dataValidation>
        <x14:dataValidation type="list" allowBlank="1" showInputMessage="1" showErrorMessage="1" xr:uid="{1E44F730-3AF1-41AB-8C64-4F7E8587673A}">
          <x14:formula1>
            <xm:f>Planilha1!$F$1:$F$18</xm:f>
          </x14:formula1>
          <xm:sqref>E20 E30:E34</xm:sqref>
        </x14:dataValidation>
        <x14:dataValidation type="list" allowBlank="1" showInputMessage="1" showErrorMessage="1" xr:uid="{5910C756-7CF9-4A68-9993-64CEE48DA587}">
          <x14:formula1>
            <xm:f>Planilha1!$B$1:$B$8</xm:f>
          </x14:formula1>
          <xm:sqref>H2:H1398</xm:sqref>
        </x14:dataValidation>
        <x14:dataValidation type="list" allowBlank="1" showInputMessage="1" showErrorMessage="1" xr:uid="{79BD84F7-FE48-445B-9E1E-A652AE8528F7}">
          <x14:formula1>
            <xm:f>Planilha1!$D$1:$D$4</xm:f>
          </x14:formula1>
          <xm:sqref>D2:D1398</xm:sqref>
        </x14:dataValidation>
        <x14:dataValidation type="list" allowBlank="1" showInputMessage="1" showErrorMessage="1" xr:uid="{B592C523-C0F7-4BE5-A838-B2E1EC510269}">
          <x14:formula1>
            <xm:f>Planilha1!$A$1:$A$2</xm:f>
          </x14:formula1>
          <xm:sqref>G2:G1398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59376-21E5-4297-8F40-911F2D12AD5B}">
  <dimension ref="A1:O24"/>
  <sheetViews>
    <sheetView zoomScale="80" zoomScaleNormal="80" workbookViewId="0"/>
  </sheetViews>
  <sheetFormatPr defaultRowHeight="14.45"/>
  <cols>
    <col min="1" max="1" width="21.28515625" bestFit="1" customWidth="1"/>
    <col min="3" max="3" width="17.7109375" bestFit="1" customWidth="1"/>
    <col min="7" max="7" width="20" bestFit="1" customWidth="1"/>
    <col min="10" max="10" width="23" customWidth="1"/>
    <col min="11" max="11" width="20" customWidth="1"/>
    <col min="12" max="12" width="20.85546875" customWidth="1"/>
  </cols>
  <sheetData>
    <row r="1" spans="1:15" ht="29.1">
      <c r="A1" s="25" t="s">
        <v>232</v>
      </c>
      <c r="B1" s="26" t="s">
        <v>233</v>
      </c>
      <c r="C1" s="26" t="s">
        <v>234</v>
      </c>
      <c r="D1" s="26" t="s">
        <v>235</v>
      </c>
      <c r="E1" s="26" t="s">
        <v>236</v>
      </c>
      <c r="F1" s="26" t="s">
        <v>237</v>
      </c>
      <c r="G1" s="26" t="s">
        <v>238</v>
      </c>
      <c r="H1" s="26" t="s">
        <v>239</v>
      </c>
      <c r="I1" s="26" t="s">
        <v>240</v>
      </c>
      <c r="J1" s="26" t="s">
        <v>241</v>
      </c>
      <c r="K1" s="26" t="s">
        <v>242</v>
      </c>
      <c r="L1" s="26" t="s">
        <v>243</v>
      </c>
      <c r="M1" s="26" t="s">
        <v>244</v>
      </c>
      <c r="N1" s="26" t="s">
        <v>245</v>
      </c>
      <c r="O1" s="26"/>
    </row>
    <row r="2" spans="1:15">
      <c r="A2" s="27" t="s">
        <v>246</v>
      </c>
      <c r="B2" s="28">
        <v>79</v>
      </c>
      <c r="C2" s="28">
        <v>70</v>
      </c>
      <c r="D2" s="28">
        <v>109</v>
      </c>
      <c r="E2" s="28">
        <v>115</v>
      </c>
      <c r="F2" s="28">
        <v>147</v>
      </c>
      <c r="G2" s="29" t="s">
        <v>247</v>
      </c>
      <c r="H2" s="29" t="s">
        <v>247</v>
      </c>
      <c r="I2" s="29" t="s">
        <v>247</v>
      </c>
      <c r="J2" s="29" t="s">
        <v>247</v>
      </c>
      <c r="K2" s="29" t="s">
        <v>247</v>
      </c>
      <c r="L2" s="29" t="s">
        <v>247</v>
      </c>
      <c r="M2" s="29" t="s">
        <v>247</v>
      </c>
      <c r="N2" s="30">
        <v>520</v>
      </c>
      <c r="O2" s="30"/>
    </row>
    <row r="3" spans="1:15">
      <c r="A3" s="27" t="s">
        <v>120</v>
      </c>
      <c r="B3" s="28">
        <v>56</v>
      </c>
      <c r="C3" s="28">
        <v>48</v>
      </c>
      <c r="D3" s="28">
        <v>76</v>
      </c>
      <c r="E3" s="28">
        <v>75</v>
      </c>
      <c r="F3" s="28">
        <v>37</v>
      </c>
      <c r="G3" s="29" t="s">
        <v>247</v>
      </c>
      <c r="H3" s="29" t="s">
        <v>247</v>
      </c>
      <c r="I3" s="29" t="s">
        <v>247</v>
      </c>
      <c r="J3" s="29" t="s">
        <v>247</v>
      </c>
      <c r="K3" s="29" t="s">
        <v>247</v>
      </c>
      <c r="L3" s="29" t="s">
        <v>247</v>
      </c>
      <c r="M3" s="29" t="s">
        <v>247</v>
      </c>
      <c r="N3" s="30">
        <v>292</v>
      </c>
      <c r="O3" s="30"/>
    </row>
    <row r="4" spans="1:15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4" t="s">
        <v>245</v>
      </c>
      <c r="N4" s="31">
        <v>812</v>
      </c>
      <c r="O4" s="31"/>
    </row>
    <row r="5" spans="1:15" ht="33.950000000000003" customHeight="1">
      <c r="A5" s="25" t="s">
        <v>248</v>
      </c>
      <c r="B5" s="26" t="s">
        <v>233</v>
      </c>
      <c r="C5" s="26" t="s">
        <v>234</v>
      </c>
      <c r="D5" s="26" t="s">
        <v>235</v>
      </c>
      <c r="E5" s="26" t="s">
        <v>236</v>
      </c>
      <c r="F5" s="26" t="s">
        <v>237</v>
      </c>
      <c r="G5" s="26" t="s">
        <v>238</v>
      </c>
      <c r="H5" s="26" t="s">
        <v>239</v>
      </c>
      <c r="I5" s="26" t="s">
        <v>240</v>
      </c>
      <c r="J5" s="26" t="s">
        <v>241</v>
      </c>
      <c r="K5" s="26" t="s">
        <v>242</v>
      </c>
      <c r="L5" s="26" t="s">
        <v>243</v>
      </c>
      <c r="M5" s="26" t="s">
        <v>244</v>
      </c>
      <c r="N5" s="32" t="s">
        <v>245</v>
      </c>
      <c r="O5" s="77"/>
    </row>
    <row r="6" spans="1:15">
      <c r="A6" s="33" t="s">
        <v>246</v>
      </c>
      <c r="B6" s="28">
        <v>33</v>
      </c>
      <c r="C6" s="28">
        <v>30</v>
      </c>
      <c r="D6" s="28">
        <v>57</v>
      </c>
      <c r="E6" s="28">
        <v>56</v>
      </c>
      <c r="F6" s="28">
        <v>83</v>
      </c>
      <c r="G6" s="29" t="s">
        <v>247</v>
      </c>
      <c r="H6" s="29" t="s">
        <v>247</v>
      </c>
      <c r="I6" s="29" t="s">
        <v>247</v>
      </c>
      <c r="J6" s="29" t="s">
        <v>247</v>
      </c>
      <c r="K6" s="29" t="s">
        <v>247</v>
      </c>
      <c r="L6" s="29" t="s">
        <v>247</v>
      </c>
      <c r="M6" s="29" t="s">
        <v>247</v>
      </c>
      <c r="N6" s="30">
        <v>259</v>
      </c>
      <c r="O6" s="35"/>
    </row>
    <row r="7" spans="1:15">
      <c r="A7" s="33" t="s">
        <v>120</v>
      </c>
      <c r="B7" s="28">
        <v>45</v>
      </c>
      <c r="C7" s="28">
        <v>36</v>
      </c>
      <c r="D7" s="28">
        <v>59</v>
      </c>
      <c r="E7" s="28">
        <v>53</v>
      </c>
      <c r="F7" s="28">
        <v>19</v>
      </c>
      <c r="G7" s="29" t="s">
        <v>247</v>
      </c>
      <c r="H7" s="29" t="s">
        <v>247</v>
      </c>
      <c r="I7" s="29" t="s">
        <v>247</v>
      </c>
      <c r="J7" s="29" t="s">
        <v>247</v>
      </c>
      <c r="K7" s="29" t="s">
        <v>247</v>
      </c>
      <c r="L7" s="29" t="s">
        <v>247</v>
      </c>
      <c r="M7" s="29" t="s">
        <v>247</v>
      </c>
      <c r="N7" s="30">
        <v>212</v>
      </c>
      <c r="O7" s="35"/>
    </row>
    <row r="8" spans="1:15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5" t="s">
        <v>245</v>
      </c>
      <c r="N8" s="31">
        <v>471</v>
      </c>
      <c r="O8" s="35"/>
    </row>
    <row r="9" spans="1:15">
      <c r="A9" s="34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>
        <v>0.58004926000000001</v>
      </c>
      <c r="O9" s="34"/>
    </row>
    <row r="10" spans="1:15">
      <c r="A10" s="34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 t="s">
        <v>249</v>
      </c>
      <c r="O10" s="34"/>
    </row>
    <row r="11" spans="1:15">
      <c r="A11" s="25" t="s">
        <v>250</v>
      </c>
      <c r="B11" s="26" t="s">
        <v>233</v>
      </c>
      <c r="C11" s="26" t="s">
        <v>234</v>
      </c>
      <c r="D11" s="26" t="s">
        <v>235</v>
      </c>
      <c r="E11" s="26" t="s">
        <v>236</v>
      </c>
      <c r="F11" s="26" t="s">
        <v>237</v>
      </c>
      <c r="G11" s="26" t="s">
        <v>238</v>
      </c>
      <c r="H11" s="26" t="s">
        <v>239</v>
      </c>
      <c r="I11" s="26" t="s">
        <v>240</v>
      </c>
      <c r="J11" s="26" t="s">
        <v>241</v>
      </c>
      <c r="K11" s="26" t="s">
        <v>242</v>
      </c>
      <c r="L11" s="26" t="s">
        <v>243</v>
      </c>
      <c r="M11" s="26" t="s">
        <v>244</v>
      </c>
      <c r="N11" s="26" t="s">
        <v>245</v>
      </c>
      <c r="O11" s="77"/>
    </row>
    <row r="12" spans="1:15">
      <c r="A12" s="33" t="s">
        <v>251</v>
      </c>
      <c r="B12" s="21"/>
      <c r="C12" s="21"/>
      <c r="D12" s="21"/>
      <c r="E12" s="21" t="s">
        <v>247</v>
      </c>
      <c r="F12" s="21" t="s">
        <v>247</v>
      </c>
      <c r="G12" s="21" t="s">
        <v>247</v>
      </c>
      <c r="H12" s="21" t="s">
        <v>247</v>
      </c>
      <c r="I12" s="21" t="s">
        <v>247</v>
      </c>
      <c r="J12" s="21" t="s">
        <v>247</v>
      </c>
      <c r="K12" s="21" t="s">
        <v>247</v>
      </c>
      <c r="L12" s="21" t="s">
        <v>247</v>
      </c>
      <c r="M12" s="21" t="s">
        <v>247</v>
      </c>
      <c r="N12" s="22" t="s">
        <v>247</v>
      </c>
      <c r="O12" s="24"/>
    </row>
    <row r="13" spans="1:15">
      <c r="A13" s="33" t="s">
        <v>252</v>
      </c>
      <c r="B13" s="21"/>
      <c r="C13" s="21"/>
      <c r="D13" s="21"/>
      <c r="E13" s="21" t="s">
        <v>247</v>
      </c>
      <c r="F13" s="21" t="s">
        <v>247</v>
      </c>
      <c r="G13" s="21" t="s">
        <v>247</v>
      </c>
      <c r="H13" s="21" t="s">
        <v>247</v>
      </c>
      <c r="I13" s="21" t="s">
        <v>247</v>
      </c>
      <c r="J13" s="21" t="s">
        <v>247</v>
      </c>
      <c r="K13" s="21" t="s">
        <v>247</v>
      </c>
      <c r="L13" s="21" t="s">
        <v>247</v>
      </c>
      <c r="M13" s="21" t="s">
        <v>247</v>
      </c>
      <c r="N13" s="22" t="s">
        <v>247</v>
      </c>
      <c r="O13" s="24"/>
    </row>
    <row r="14" spans="1:15">
      <c r="A14" s="33" t="s">
        <v>253</v>
      </c>
      <c r="B14" s="21"/>
      <c r="C14" s="21"/>
      <c r="D14" s="21"/>
      <c r="E14" s="21" t="s">
        <v>247</v>
      </c>
      <c r="F14" s="21" t="s">
        <v>247</v>
      </c>
      <c r="G14" s="21" t="s">
        <v>247</v>
      </c>
      <c r="H14" s="21" t="s">
        <v>247</v>
      </c>
      <c r="I14" s="21" t="s">
        <v>247</v>
      </c>
      <c r="J14" s="21" t="s">
        <v>247</v>
      </c>
      <c r="K14" s="21" t="s">
        <v>247</v>
      </c>
      <c r="L14" s="21" t="s">
        <v>247</v>
      </c>
      <c r="M14" s="21" t="s">
        <v>247</v>
      </c>
      <c r="N14" s="22" t="s">
        <v>247</v>
      </c>
      <c r="O14" s="24"/>
    </row>
    <row r="15" spans="1:15">
      <c r="A15" s="33" t="s">
        <v>254</v>
      </c>
      <c r="B15" s="21"/>
      <c r="C15" s="21"/>
      <c r="D15" s="21"/>
      <c r="E15" s="21" t="s">
        <v>247</v>
      </c>
      <c r="F15" s="21" t="s">
        <v>247</v>
      </c>
      <c r="G15" s="21" t="s">
        <v>247</v>
      </c>
      <c r="H15" s="21" t="s">
        <v>247</v>
      </c>
      <c r="I15" s="21" t="s">
        <v>247</v>
      </c>
      <c r="J15" s="21" t="s">
        <v>247</v>
      </c>
      <c r="K15" s="21" t="s">
        <v>247</v>
      </c>
      <c r="L15" s="21" t="s">
        <v>247</v>
      </c>
      <c r="M15" s="21" t="s">
        <v>247</v>
      </c>
      <c r="N15" s="22" t="s">
        <v>247</v>
      </c>
      <c r="O15" s="24"/>
    </row>
    <row r="16" spans="1:15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</row>
    <row r="17" spans="1:15" ht="29.1">
      <c r="A17" s="25" t="s">
        <v>255</v>
      </c>
      <c r="B17" s="26" t="s">
        <v>233</v>
      </c>
      <c r="C17" s="26" t="s">
        <v>234</v>
      </c>
      <c r="D17" s="26" t="s">
        <v>235</v>
      </c>
      <c r="E17" s="26" t="s">
        <v>236</v>
      </c>
      <c r="F17" s="26" t="s">
        <v>237</v>
      </c>
      <c r="G17" s="26" t="s">
        <v>238</v>
      </c>
      <c r="H17" s="26" t="s">
        <v>239</v>
      </c>
      <c r="I17" s="26" t="s">
        <v>240</v>
      </c>
      <c r="J17" s="26" t="s">
        <v>241</v>
      </c>
      <c r="K17" s="26" t="s">
        <v>242</v>
      </c>
      <c r="L17" s="26" t="s">
        <v>243</v>
      </c>
      <c r="M17" s="26" t="s">
        <v>244</v>
      </c>
      <c r="N17" s="26" t="s">
        <v>245</v>
      </c>
      <c r="O17" s="77"/>
    </row>
    <row r="18" spans="1:15">
      <c r="A18" s="33" t="s">
        <v>245</v>
      </c>
      <c r="B18" s="21" t="s">
        <v>256</v>
      </c>
      <c r="C18" s="21" t="s">
        <v>256</v>
      </c>
      <c r="D18" s="21" t="s">
        <v>256</v>
      </c>
      <c r="E18" s="21" t="s">
        <v>256</v>
      </c>
      <c r="F18" s="20">
        <v>18</v>
      </c>
      <c r="G18" s="21" t="s">
        <v>247</v>
      </c>
      <c r="H18" s="21" t="s">
        <v>247</v>
      </c>
      <c r="I18" s="21" t="s">
        <v>247</v>
      </c>
      <c r="J18" s="21" t="s">
        <v>247</v>
      </c>
      <c r="K18" s="21" t="s">
        <v>247</v>
      </c>
      <c r="L18" s="21" t="s">
        <v>247</v>
      </c>
      <c r="M18" s="21" t="s">
        <v>247</v>
      </c>
      <c r="N18" s="22">
        <v>18</v>
      </c>
      <c r="O18" s="24"/>
    </row>
    <row r="21" spans="1:15" ht="57.95">
      <c r="A21" s="36" t="s">
        <v>257</v>
      </c>
      <c r="B21" s="37" t="s">
        <v>258</v>
      </c>
      <c r="C21" s="37" t="s">
        <v>259</v>
      </c>
      <c r="D21" s="37" t="s">
        <v>260</v>
      </c>
    </row>
    <row r="22" spans="1:15">
      <c r="A22" s="38">
        <v>2024</v>
      </c>
      <c r="B22" s="40">
        <v>464</v>
      </c>
      <c r="C22" s="40">
        <v>0</v>
      </c>
      <c r="D22" s="41">
        <v>464</v>
      </c>
    </row>
    <row r="23" spans="1:15">
      <c r="A23" s="38">
        <v>2025</v>
      </c>
      <c r="B23" s="40">
        <v>598</v>
      </c>
      <c r="C23" s="40">
        <v>94</v>
      </c>
      <c r="D23" s="41">
        <v>692</v>
      </c>
    </row>
    <row r="24" spans="1:15">
      <c r="A24" s="38">
        <v>2026</v>
      </c>
      <c r="B24" s="39">
        <v>251</v>
      </c>
      <c r="C24" s="39">
        <v>170</v>
      </c>
      <c r="D24" s="42">
        <f>SUM(B24:C24)</f>
        <v>421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15DDD-4E4D-4200-AF0B-FE734684500C}">
  <dimension ref="A1"/>
  <sheetViews>
    <sheetView workbookViewId="0"/>
  </sheetViews>
  <sheetFormatPr defaultRowHeight="14.45"/>
  <sheetData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5D49D-4ECA-44BF-8A07-02F08FF03572}">
  <dimension ref="A1:O183"/>
  <sheetViews>
    <sheetView workbookViewId="0">
      <selection activeCell="B9" sqref="B9"/>
    </sheetView>
  </sheetViews>
  <sheetFormatPr defaultRowHeight="14.45"/>
  <cols>
    <col min="1" max="1" width="14.28515625" style="70" bestFit="1" customWidth="1"/>
    <col min="2" max="2" width="37.7109375" customWidth="1"/>
    <col min="3" max="3" width="72.42578125" bestFit="1" customWidth="1"/>
    <col min="4" max="4" width="56" bestFit="1" customWidth="1"/>
    <col min="5" max="5" width="17.7109375" bestFit="1" customWidth="1"/>
    <col min="6" max="6" width="72.42578125" bestFit="1" customWidth="1"/>
    <col min="7" max="7" width="22.5703125" bestFit="1" customWidth="1"/>
    <col min="8" max="8" width="5.42578125" style="70" bestFit="1" customWidth="1"/>
    <col min="9" max="9" width="10.140625" bestFit="1" customWidth="1"/>
    <col min="10" max="10" width="9.42578125" style="70" bestFit="1" customWidth="1"/>
    <col min="11" max="11" width="22" bestFit="1" customWidth="1"/>
    <col min="12" max="12" width="27.85546875" bestFit="1" customWidth="1"/>
    <col min="13" max="13" width="42.42578125" bestFit="1" customWidth="1"/>
    <col min="14" max="14" width="11" style="70" bestFit="1" customWidth="1"/>
    <col min="15" max="15" width="15.42578125" style="70" bestFit="1" customWidth="1"/>
  </cols>
  <sheetData>
    <row r="1" spans="1:15" ht="26.45">
      <c r="A1" s="73" t="s">
        <v>261</v>
      </c>
      <c r="B1" s="57" t="s">
        <v>262</v>
      </c>
      <c r="C1" s="57" t="s">
        <v>263</v>
      </c>
      <c r="D1" s="57" t="s">
        <v>264</v>
      </c>
      <c r="E1" s="58" t="s">
        <v>265</v>
      </c>
      <c r="F1" s="58" t="s">
        <v>266</v>
      </c>
      <c r="G1" s="58" t="s">
        <v>267</v>
      </c>
      <c r="H1" s="71" t="s">
        <v>268</v>
      </c>
      <c r="I1" s="58" t="s">
        <v>269</v>
      </c>
      <c r="J1" s="71" t="s">
        <v>270</v>
      </c>
      <c r="K1" s="57" t="s">
        <v>271</v>
      </c>
      <c r="L1" s="58" t="s">
        <v>272</v>
      </c>
      <c r="M1" s="59" t="s">
        <v>273</v>
      </c>
      <c r="N1" s="60" t="s">
        <v>274</v>
      </c>
      <c r="O1" s="61" t="s">
        <v>275</v>
      </c>
    </row>
    <row r="2" spans="1:15">
      <c r="A2" s="74">
        <v>300001</v>
      </c>
      <c r="B2" s="44" t="s">
        <v>276</v>
      </c>
      <c r="C2" s="44" t="s">
        <v>277</v>
      </c>
      <c r="D2" s="44" t="s">
        <v>278</v>
      </c>
      <c r="E2" s="44" t="s">
        <v>279</v>
      </c>
      <c r="F2" s="44" t="s">
        <v>280</v>
      </c>
      <c r="G2" s="44" t="s">
        <v>281</v>
      </c>
      <c r="H2" s="72" t="s">
        <v>282</v>
      </c>
      <c r="I2" s="44">
        <v>9770330</v>
      </c>
      <c r="J2" s="72" t="s">
        <v>283</v>
      </c>
      <c r="K2" s="44" t="s">
        <v>284</v>
      </c>
      <c r="L2" s="45" t="s">
        <v>285</v>
      </c>
      <c r="M2" s="46" t="s">
        <v>286</v>
      </c>
      <c r="N2" s="62" t="s">
        <v>139</v>
      </c>
      <c r="O2" s="63" t="s">
        <v>287</v>
      </c>
    </row>
    <row r="3" spans="1:15">
      <c r="A3" s="74">
        <v>300002</v>
      </c>
      <c r="B3" s="44" t="s">
        <v>288</v>
      </c>
      <c r="C3" s="44" t="s">
        <v>289</v>
      </c>
      <c r="D3" s="44" t="s">
        <v>290</v>
      </c>
      <c r="E3" s="44" t="s">
        <v>291</v>
      </c>
      <c r="F3" s="44" t="s">
        <v>292</v>
      </c>
      <c r="G3" s="44" t="s">
        <v>293</v>
      </c>
      <c r="H3" s="72" t="s">
        <v>294</v>
      </c>
      <c r="I3" s="44">
        <v>37701489</v>
      </c>
      <c r="J3" s="72" t="s">
        <v>283</v>
      </c>
      <c r="K3" s="44" t="s">
        <v>295</v>
      </c>
      <c r="L3" s="45" t="s">
        <v>296</v>
      </c>
      <c r="M3" s="47" t="s">
        <v>297</v>
      </c>
      <c r="N3" s="64" t="s">
        <v>287</v>
      </c>
      <c r="O3" s="65" t="s">
        <v>139</v>
      </c>
    </row>
    <row r="4" spans="1:15">
      <c r="A4" s="74">
        <v>300003</v>
      </c>
      <c r="B4" s="44" t="s">
        <v>298</v>
      </c>
      <c r="C4" s="44" t="s">
        <v>299</v>
      </c>
      <c r="D4" s="44" t="s">
        <v>300</v>
      </c>
      <c r="E4" s="44" t="s">
        <v>301</v>
      </c>
      <c r="F4" s="44" t="s">
        <v>302</v>
      </c>
      <c r="G4" s="44" t="s">
        <v>303</v>
      </c>
      <c r="H4" s="72" t="s">
        <v>282</v>
      </c>
      <c r="I4" s="44">
        <v>5311000</v>
      </c>
      <c r="J4" s="72" t="s">
        <v>283</v>
      </c>
      <c r="K4" s="44" t="s">
        <v>304</v>
      </c>
      <c r="L4" s="45" t="s">
        <v>305</v>
      </c>
      <c r="M4" s="47" t="s">
        <v>306</v>
      </c>
      <c r="N4" s="66" t="s">
        <v>287</v>
      </c>
      <c r="O4" s="67" t="s">
        <v>287</v>
      </c>
    </row>
    <row r="5" spans="1:15">
      <c r="A5" s="74">
        <v>300004</v>
      </c>
      <c r="B5" s="44" t="s">
        <v>307</v>
      </c>
      <c r="C5" s="44" t="s">
        <v>308</v>
      </c>
      <c r="D5" s="44" t="s">
        <v>309</v>
      </c>
      <c r="E5" s="44" t="s">
        <v>310</v>
      </c>
      <c r="F5" s="44" t="s">
        <v>311</v>
      </c>
      <c r="G5" s="44" t="s">
        <v>293</v>
      </c>
      <c r="H5" s="72" t="s">
        <v>294</v>
      </c>
      <c r="I5" s="44">
        <v>3701001</v>
      </c>
      <c r="J5" s="72" t="s">
        <v>283</v>
      </c>
      <c r="K5" s="44" t="s">
        <v>312</v>
      </c>
      <c r="L5" s="45" t="s">
        <v>313</v>
      </c>
      <c r="M5" s="47" t="s">
        <v>314</v>
      </c>
      <c r="N5" s="66" t="s">
        <v>287</v>
      </c>
      <c r="O5" s="67" t="s">
        <v>139</v>
      </c>
    </row>
    <row r="6" spans="1:15">
      <c r="A6" s="74">
        <v>300005</v>
      </c>
      <c r="B6" s="44" t="s">
        <v>315</v>
      </c>
      <c r="C6" s="44" t="s">
        <v>316</v>
      </c>
      <c r="D6" s="44" t="s">
        <v>317</v>
      </c>
      <c r="E6" s="44" t="s">
        <v>318</v>
      </c>
      <c r="F6" s="44" t="s">
        <v>319</v>
      </c>
      <c r="G6" s="44" t="s">
        <v>293</v>
      </c>
      <c r="H6" s="72" t="s">
        <v>294</v>
      </c>
      <c r="I6" s="44">
        <v>37701022</v>
      </c>
      <c r="J6" s="72" t="s">
        <v>283</v>
      </c>
      <c r="K6" s="44" t="s">
        <v>320</v>
      </c>
      <c r="L6" s="45" t="s">
        <v>321</v>
      </c>
      <c r="M6" s="47" t="s">
        <v>322</v>
      </c>
      <c r="N6" s="66" t="s">
        <v>287</v>
      </c>
      <c r="O6" s="67" t="s">
        <v>139</v>
      </c>
    </row>
    <row r="7" spans="1:15">
      <c r="A7" s="74">
        <v>300006</v>
      </c>
      <c r="B7" s="44" t="s">
        <v>315</v>
      </c>
      <c r="C7" s="44" t="s">
        <v>323</v>
      </c>
      <c r="D7" s="44" t="s">
        <v>324</v>
      </c>
      <c r="E7" s="44" t="s">
        <v>325</v>
      </c>
      <c r="F7" s="44" t="s">
        <v>326</v>
      </c>
      <c r="G7" s="44" t="s">
        <v>293</v>
      </c>
      <c r="H7" s="72" t="s">
        <v>294</v>
      </c>
      <c r="I7" s="44">
        <v>37706181</v>
      </c>
      <c r="J7" s="72" t="s">
        <v>283</v>
      </c>
      <c r="K7" s="44" t="s">
        <v>327</v>
      </c>
      <c r="L7" s="45" t="s">
        <v>328</v>
      </c>
      <c r="M7" s="47" t="s">
        <v>329</v>
      </c>
      <c r="N7" s="66" t="s">
        <v>287</v>
      </c>
      <c r="O7" s="67" t="s">
        <v>139</v>
      </c>
    </row>
    <row r="8" spans="1:15">
      <c r="A8" s="74">
        <v>300007</v>
      </c>
      <c r="B8" s="44" t="s">
        <v>330</v>
      </c>
      <c r="C8" s="44" t="s">
        <v>331</v>
      </c>
      <c r="D8" s="44" t="s">
        <v>332</v>
      </c>
      <c r="E8" s="44" t="s">
        <v>333</v>
      </c>
      <c r="F8" s="44" t="s">
        <v>334</v>
      </c>
      <c r="G8" s="44" t="s">
        <v>335</v>
      </c>
      <c r="H8" s="72" t="s">
        <v>294</v>
      </c>
      <c r="I8" s="44">
        <v>36404154</v>
      </c>
      <c r="J8" s="72" t="s">
        <v>283</v>
      </c>
      <c r="K8" s="44" t="s">
        <v>336</v>
      </c>
      <c r="L8" s="45" t="s">
        <v>337</v>
      </c>
      <c r="M8" s="47" t="s">
        <v>338</v>
      </c>
      <c r="N8" s="66" t="s">
        <v>287</v>
      </c>
      <c r="O8" s="67" t="s">
        <v>287</v>
      </c>
    </row>
    <row r="9" spans="1:15">
      <c r="A9" s="74">
        <v>300008</v>
      </c>
      <c r="B9" s="44" t="s">
        <v>339</v>
      </c>
      <c r="C9" s="44" t="s">
        <v>340</v>
      </c>
      <c r="D9" s="44" t="s">
        <v>341</v>
      </c>
      <c r="E9" s="44" t="s">
        <v>342</v>
      </c>
      <c r="F9" s="44" t="s">
        <v>343</v>
      </c>
      <c r="G9" s="44" t="s">
        <v>344</v>
      </c>
      <c r="H9" s="72" t="s">
        <v>294</v>
      </c>
      <c r="I9" s="44">
        <v>31560000</v>
      </c>
      <c r="J9" s="72" t="s">
        <v>283</v>
      </c>
      <c r="K9" s="44" t="s">
        <v>345</v>
      </c>
      <c r="L9" s="45" t="s">
        <v>346</v>
      </c>
      <c r="M9" s="47" t="s">
        <v>347</v>
      </c>
      <c r="N9" s="66" t="s">
        <v>287</v>
      </c>
      <c r="O9" s="67" t="s">
        <v>287</v>
      </c>
    </row>
    <row r="10" spans="1:15">
      <c r="A10" s="74">
        <v>300009</v>
      </c>
      <c r="B10" s="44" t="s">
        <v>348</v>
      </c>
      <c r="C10" s="44" t="s">
        <v>349</v>
      </c>
      <c r="D10" s="44" t="s">
        <v>350</v>
      </c>
      <c r="E10" s="44" t="s">
        <v>351</v>
      </c>
      <c r="F10" s="44" t="s">
        <v>352</v>
      </c>
      <c r="G10" s="44" t="s">
        <v>353</v>
      </c>
      <c r="H10" s="72" t="s">
        <v>294</v>
      </c>
      <c r="I10" s="44">
        <v>38400668</v>
      </c>
      <c r="J10" s="72" t="s">
        <v>283</v>
      </c>
      <c r="K10" s="44" t="s">
        <v>354</v>
      </c>
      <c r="L10" s="44" t="s">
        <v>355</v>
      </c>
      <c r="M10" s="47" t="s">
        <v>356</v>
      </c>
      <c r="N10" s="66" t="s">
        <v>287</v>
      </c>
      <c r="O10" s="67" t="s">
        <v>287</v>
      </c>
    </row>
    <row r="11" spans="1:15">
      <c r="A11" s="74">
        <v>300010</v>
      </c>
      <c r="B11" s="44" t="s">
        <v>298</v>
      </c>
      <c r="C11" s="44" t="s">
        <v>357</v>
      </c>
      <c r="D11" s="44" t="s">
        <v>358</v>
      </c>
      <c r="E11" s="44" t="s">
        <v>359</v>
      </c>
      <c r="F11" s="44" t="s">
        <v>360</v>
      </c>
      <c r="G11" s="44" t="s">
        <v>344</v>
      </c>
      <c r="H11" s="72" t="s">
        <v>294</v>
      </c>
      <c r="I11" s="44">
        <v>30320690</v>
      </c>
      <c r="J11" s="72" t="s">
        <v>283</v>
      </c>
      <c r="K11" s="44" t="s">
        <v>361</v>
      </c>
      <c r="L11" s="44" t="s">
        <v>362</v>
      </c>
      <c r="M11" s="47" t="s">
        <v>363</v>
      </c>
      <c r="N11" s="66" t="s">
        <v>287</v>
      </c>
      <c r="O11" s="67" t="s">
        <v>287</v>
      </c>
    </row>
    <row r="12" spans="1:15">
      <c r="A12" s="74">
        <v>300011</v>
      </c>
      <c r="B12" s="44" t="s">
        <v>364</v>
      </c>
      <c r="C12" s="44" t="s">
        <v>365</v>
      </c>
      <c r="D12" s="44" t="s">
        <v>366</v>
      </c>
      <c r="E12" s="44" t="s">
        <v>367</v>
      </c>
      <c r="F12" s="44" t="s">
        <v>368</v>
      </c>
      <c r="G12" s="44" t="s">
        <v>344</v>
      </c>
      <c r="H12" s="72" t="s">
        <v>294</v>
      </c>
      <c r="I12" s="44">
        <v>30555190</v>
      </c>
      <c r="J12" s="72" t="s">
        <v>283</v>
      </c>
      <c r="K12" s="44" t="s">
        <v>369</v>
      </c>
      <c r="L12" s="44" t="s">
        <v>370</v>
      </c>
      <c r="M12" s="47" t="s">
        <v>371</v>
      </c>
      <c r="N12" s="66" t="s">
        <v>287</v>
      </c>
      <c r="O12" s="67" t="s">
        <v>287</v>
      </c>
    </row>
    <row r="13" spans="1:15">
      <c r="A13" s="74">
        <v>300012</v>
      </c>
      <c r="B13" s="44" t="s">
        <v>372</v>
      </c>
      <c r="C13" s="44" t="s">
        <v>373</v>
      </c>
      <c r="D13" s="44" t="s">
        <v>374</v>
      </c>
      <c r="E13" s="44" t="s">
        <v>375</v>
      </c>
      <c r="F13" s="44" t="s">
        <v>376</v>
      </c>
      <c r="G13" s="44" t="s">
        <v>293</v>
      </c>
      <c r="H13" s="72" t="s">
        <v>294</v>
      </c>
      <c r="I13" s="44">
        <v>37704524</v>
      </c>
      <c r="J13" s="72" t="s">
        <v>283</v>
      </c>
      <c r="K13" s="44" t="s">
        <v>377</v>
      </c>
      <c r="L13" s="44" t="s">
        <v>378</v>
      </c>
      <c r="M13" s="47" t="s">
        <v>379</v>
      </c>
      <c r="N13" s="66" t="s">
        <v>287</v>
      </c>
      <c r="O13" s="67" t="s">
        <v>139</v>
      </c>
    </row>
    <row r="14" spans="1:15">
      <c r="A14" s="74">
        <v>300013</v>
      </c>
      <c r="B14" s="44" t="s">
        <v>380</v>
      </c>
      <c r="C14" s="44" t="s">
        <v>381</v>
      </c>
      <c r="D14" s="44" t="s">
        <v>382</v>
      </c>
      <c r="E14" s="44" t="s">
        <v>383</v>
      </c>
      <c r="F14" s="44" t="s">
        <v>384</v>
      </c>
      <c r="G14" s="44" t="s">
        <v>293</v>
      </c>
      <c r="H14" s="72" t="s">
        <v>294</v>
      </c>
      <c r="I14" s="44">
        <v>37701822</v>
      </c>
      <c r="J14" s="72" t="s">
        <v>283</v>
      </c>
      <c r="K14" s="44" t="s">
        <v>385</v>
      </c>
      <c r="L14" s="44" t="s">
        <v>386</v>
      </c>
      <c r="M14" s="47" t="s">
        <v>387</v>
      </c>
      <c r="N14" s="66" t="s">
        <v>287</v>
      </c>
      <c r="O14" s="67" t="s">
        <v>139</v>
      </c>
    </row>
    <row r="15" spans="1:15">
      <c r="A15" s="74">
        <v>300014</v>
      </c>
      <c r="B15" s="44" t="s">
        <v>388</v>
      </c>
      <c r="C15" s="44" t="s">
        <v>389</v>
      </c>
      <c r="D15" s="44" t="s">
        <v>390</v>
      </c>
      <c r="E15" s="44" t="s">
        <v>391</v>
      </c>
      <c r="F15" s="44" t="s">
        <v>392</v>
      </c>
      <c r="G15" s="44" t="s">
        <v>303</v>
      </c>
      <c r="H15" s="72" t="s">
        <v>282</v>
      </c>
      <c r="I15" s="44">
        <v>4551000</v>
      </c>
      <c r="J15" s="72" t="s">
        <v>283</v>
      </c>
      <c r="K15" s="44" t="s">
        <v>393</v>
      </c>
      <c r="L15" s="44" t="s">
        <v>394</v>
      </c>
      <c r="M15" s="47" t="s">
        <v>395</v>
      </c>
      <c r="N15" s="66" t="s">
        <v>287</v>
      </c>
      <c r="O15" s="67" t="s">
        <v>287</v>
      </c>
    </row>
    <row r="16" spans="1:15">
      <c r="A16" s="74">
        <v>300015</v>
      </c>
      <c r="B16" s="44" t="s">
        <v>298</v>
      </c>
      <c r="C16" s="44" t="s">
        <v>396</v>
      </c>
      <c r="D16" s="44" t="s">
        <v>397</v>
      </c>
      <c r="E16" s="44" t="s">
        <v>398</v>
      </c>
      <c r="F16" s="44" t="s">
        <v>399</v>
      </c>
      <c r="G16" s="44" t="s">
        <v>344</v>
      </c>
      <c r="H16" s="72" t="s">
        <v>294</v>
      </c>
      <c r="I16" s="44">
        <v>31310370</v>
      </c>
      <c r="J16" s="72" t="s">
        <v>283</v>
      </c>
      <c r="K16" s="44" t="s">
        <v>400</v>
      </c>
      <c r="L16" s="44" t="s">
        <v>401</v>
      </c>
      <c r="M16" s="47" t="s">
        <v>402</v>
      </c>
      <c r="N16" s="66" t="s">
        <v>287</v>
      </c>
      <c r="O16" s="67" t="s">
        <v>287</v>
      </c>
    </row>
    <row r="17" spans="1:15">
      <c r="A17" s="74">
        <v>300016</v>
      </c>
      <c r="B17" s="44" t="s">
        <v>403</v>
      </c>
      <c r="C17" s="44" t="s">
        <v>404</v>
      </c>
      <c r="D17" s="44" t="s">
        <v>405</v>
      </c>
      <c r="E17" s="44" t="s">
        <v>406</v>
      </c>
      <c r="F17" s="44" t="s">
        <v>407</v>
      </c>
      <c r="G17" s="44" t="s">
        <v>344</v>
      </c>
      <c r="H17" s="72" t="s">
        <v>294</v>
      </c>
      <c r="I17" s="44">
        <v>30150370</v>
      </c>
      <c r="J17" s="72" t="s">
        <v>283</v>
      </c>
      <c r="K17" s="44" t="s">
        <v>408</v>
      </c>
      <c r="L17" s="44" t="s">
        <v>409</v>
      </c>
      <c r="M17" s="47" t="s">
        <v>410</v>
      </c>
      <c r="N17" s="66" t="s">
        <v>287</v>
      </c>
      <c r="O17" s="67" t="s">
        <v>287</v>
      </c>
    </row>
    <row r="18" spans="1:15">
      <c r="A18" s="74">
        <v>300017</v>
      </c>
      <c r="B18" s="44" t="s">
        <v>339</v>
      </c>
      <c r="C18" s="44" t="s">
        <v>411</v>
      </c>
      <c r="D18" s="44" t="s">
        <v>412</v>
      </c>
      <c r="E18" s="44" t="s">
        <v>413</v>
      </c>
      <c r="F18" s="44" t="s">
        <v>414</v>
      </c>
      <c r="G18" s="44" t="s">
        <v>344</v>
      </c>
      <c r="H18" s="72" t="s">
        <v>294</v>
      </c>
      <c r="I18" s="44">
        <v>30130134</v>
      </c>
      <c r="J18" s="72" t="s">
        <v>283</v>
      </c>
      <c r="K18" s="44" t="s">
        <v>415</v>
      </c>
      <c r="L18" s="44" t="s">
        <v>416</v>
      </c>
      <c r="M18" s="47" t="s">
        <v>417</v>
      </c>
      <c r="N18" s="66" t="s">
        <v>287</v>
      </c>
      <c r="O18" s="67" t="s">
        <v>287</v>
      </c>
    </row>
    <row r="19" spans="1:15">
      <c r="A19" s="74">
        <v>300018</v>
      </c>
      <c r="B19" s="44" t="s">
        <v>418</v>
      </c>
      <c r="C19" s="44" t="s">
        <v>419</v>
      </c>
      <c r="D19" s="44" t="s">
        <v>420</v>
      </c>
      <c r="E19" s="44" t="s">
        <v>421</v>
      </c>
      <c r="F19" s="44" t="s">
        <v>422</v>
      </c>
      <c r="G19" s="44" t="s">
        <v>423</v>
      </c>
      <c r="H19" s="72" t="s">
        <v>424</v>
      </c>
      <c r="I19" s="48">
        <v>90480000</v>
      </c>
      <c r="J19" s="72" t="s">
        <v>283</v>
      </c>
      <c r="K19" s="44" t="s">
        <v>425</v>
      </c>
      <c r="L19" s="44" t="s">
        <v>426</v>
      </c>
      <c r="M19" s="47" t="s">
        <v>427</v>
      </c>
      <c r="N19" s="66" t="s">
        <v>287</v>
      </c>
      <c r="O19" s="67" t="s">
        <v>287</v>
      </c>
    </row>
    <row r="20" spans="1:15">
      <c r="A20" s="74">
        <v>300019</v>
      </c>
      <c r="B20" s="44" t="s">
        <v>418</v>
      </c>
      <c r="C20" s="44" t="s">
        <v>428</v>
      </c>
      <c r="D20" s="44" t="s">
        <v>429</v>
      </c>
      <c r="E20" s="44" t="s">
        <v>430</v>
      </c>
      <c r="F20" s="44" t="s">
        <v>431</v>
      </c>
      <c r="G20" s="44" t="s">
        <v>423</v>
      </c>
      <c r="H20" s="72" t="s">
        <v>424</v>
      </c>
      <c r="I20" s="48">
        <v>90480000</v>
      </c>
      <c r="J20" s="72" t="s">
        <v>283</v>
      </c>
      <c r="K20" s="44" t="s">
        <v>432</v>
      </c>
      <c r="L20" s="44" t="s">
        <v>433</v>
      </c>
      <c r="M20" s="47" t="s">
        <v>434</v>
      </c>
      <c r="N20" s="66" t="s">
        <v>287</v>
      </c>
      <c r="O20" s="67" t="s">
        <v>287</v>
      </c>
    </row>
    <row r="21" spans="1:15">
      <c r="A21" s="74">
        <v>300020</v>
      </c>
      <c r="B21" s="44" t="s">
        <v>435</v>
      </c>
      <c r="C21" s="44" t="s">
        <v>436</v>
      </c>
      <c r="D21" s="44" t="s">
        <v>437</v>
      </c>
      <c r="E21" s="44" t="s">
        <v>438</v>
      </c>
      <c r="F21" s="44" t="s">
        <v>439</v>
      </c>
      <c r="G21" s="44" t="s">
        <v>293</v>
      </c>
      <c r="H21" s="72" t="s">
        <v>294</v>
      </c>
      <c r="I21" s="44">
        <v>37701970</v>
      </c>
      <c r="J21" s="72" t="s">
        <v>283</v>
      </c>
      <c r="K21" s="44" t="s">
        <v>440</v>
      </c>
      <c r="L21" s="44" t="s">
        <v>441</v>
      </c>
      <c r="M21" s="47" t="s">
        <v>442</v>
      </c>
      <c r="N21" s="66" t="s">
        <v>287</v>
      </c>
      <c r="O21" s="67" t="s">
        <v>139</v>
      </c>
    </row>
    <row r="22" spans="1:15">
      <c r="A22" s="74">
        <v>300021</v>
      </c>
      <c r="B22" s="44" t="s">
        <v>298</v>
      </c>
      <c r="C22" s="44" t="s">
        <v>299</v>
      </c>
      <c r="D22" s="44" t="s">
        <v>300</v>
      </c>
      <c r="E22" s="44" t="s">
        <v>443</v>
      </c>
      <c r="F22" s="44" t="s">
        <v>302</v>
      </c>
      <c r="G22" s="44" t="s">
        <v>303</v>
      </c>
      <c r="H22" s="72" t="s">
        <v>282</v>
      </c>
      <c r="I22" s="44">
        <v>5311000</v>
      </c>
      <c r="J22" s="72" t="s">
        <v>283</v>
      </c>
      <c r="K22" s="44" t="s">
        <v>304</v>
      </c>
      <c r="L22" s="44" t="s">
        <v>305</v>
      </c>
      <c r="M22" s="47" t="s">
        <v>306</v>
      </c>
      <c r="N22" s="66" t="s">
        <v>287</v>
      </c>
      <c r="O22" s="67" t="s">
        <v>287</v>
      </c>
    </row>
    <row r="23" spans="1:15">
      <c r="A23" s="74">
        <v>300022</v>
      </c>
      <c r="B23" s="44" t="s">
        <v>298</v>
      </c>
      <c r="C23" s="44" t="s">
        <v>444</v>
      </c>
      <c r="D23" s="44" t="s">
        <v>445</v>
      </c>
      <c r="E23" s="44" t="s">
        <v>446</v>
      </c>
      <c r="F23" s="44" t="s">
        <v>447</v>
      </c>
      <c r="G23" s="44" t="s">
        <v>448</v>
      </c>
      <c r="H23" s="72" t="s">
        <v>282</v>
      </c>
      <c r="I23" s="44">
        <v>6711120</v>
      </c>
      <c r="J23" s="72" t="s">
        <v>283</v>
      </c>
      <c r="K23" s="44" t="s">
        <v>449</v>
      </c>
      <c r="L23" s="44" t="s">
        <v>450</v>
      </c>
      <c r="M23" s="47" t="s">
        <v>451</v>
      </c>
      <c r="N23" s="66" t="s">
        <v>287</v>
      </c>
      <c r="O23" s="67" t="s">
        <v>287</v>
      </c>
    </row>
    <row r="24" spans="1:15">
      <c r="A24" s="74">
        <v>300023</v>
      </c>
      <c r="B24" s="44" t="s">
        <v>452</v>
      </c>
      <c r="C24" s="44" t="s">
        <v>453</v>
      </c>
      <c r="D24" s="44" t="s">
        <v>454</v>
      </c>
      <c r="E24" s="44" t="s">
        <v>455</v>
      </c>
      <c r="F24" s="44" t="s">
        <v>456</v>
      </c>
      <c r="G24" s="44" t="s">
        <v>344</v>
      </c>
      <c r="H24" s="72" t="s">
        <v>294</v>
      </c>
      <c r="I24" s="44">
        <v>30494085</v>
      </c>
      <c r="J24" s="72" t="s">
        <v>283</v>
      </c>
      <c r="K24" s="44" t="s">
        <v>457</v>
      </c>
      <c r="L24" s="44" t="s">
        <v>458</v>
      </c>
      <c r="M24" s="47" t="s">
        <v>459</v>
      </c>
      <c r="N24" s="66" t="s">
        <v>287</v>
      </c>
      <c r="O24" s="67" t="s">
        <v>287</v>
      </c>
    </row>
    <row r="25" spans="1:15">
      <c r="A25" s="74">
        <v>300024</v>
      </c>
      <c r="B25" s="44" t="s">
        <v>460</v>
      </c>
      <c r="C25" s="44" t="s">
        <v>461</v>
      </c>
      <c r="D25" s="44" t="s">
        <v>462</v>
      </c>
      <c r="E25" s="44" t="s">
        <v>463</v>
      </c>
      <c r="F25" s="44" t="s">
        <v>464</v>
      </c>
      <c r="G25" s="44" t="s">
        <v>465</v>
      </c>
      <c r="H25" s="72" t="s">
        <v>294</v>
      </c>
      <c r="I25" s="44">
        <v>37130000</v>
      </c>
      <c r="J25" s="72" t="s">
        <v>283</v>
      </c>
      <c r="K25" s="44" t="s">
        <v>466</v>
      </c>
      <c r="L25" s="44" t="s">
        <v>467</v>
      </c>
      <c r="M25" s="47" t="s">
        <v>468</v>
      </c>
      <c r="N25" s="66" t="s">
        <v>287</v>
      </c>
      <c r="O25" s="67" t="s">
        <v>287</v>
      </c>
    </row>
    <row r="26" spans="1:15">
      <c r="A26" s="74">
        <v>300025</v>
      </c>
      <c r="B26" s="44" t="s">
        <v>469</v>
      </c>
      <c r="C26" s="44" t="s">
        <v>470</v>
      </c>
      <c r="D26" s="44" t="s">
        <v>471</v>
      </c>
      <c r="E26" s="44" t="s">
        <v>472</v>
      </c>
      <c r="F26" s="44" t="s">
        <v>473</v>
      </c>
      <c r="G26" s="44" t="s">
        <v>293</v>
      </c>
      <c r="H26" s="72" t="s">
        <v>294</v>
      </c>
      <c r="I26" s="44">
        <v>37706450</v>
      </c>
      <c r="J26" s="72" t="s">
        <v>283</v>
      </c>
      <c r="K26" s="44" t="s">
        <v>466</v>
      </c>
      <c r="L26" s="44" t="s">
        <v>474</v>
      </c>
      <c r="M26" s="47" t="s">
        <v>475</v>
      </c>
      <c r="N26" s="66" t="s">
        <v>287</v>
      </c>
      <c r="O26" s="67" t="s">
        <v>139</v>
      </c>
    </row>
    <row r="27" spans="1:15">
      <c r="A27" s="74">
        <v>300026</v>
      </c>
      <c r="B27" s="44" t="s">
        <v>476</v>
      </c>
      <c r="C27" s="44" t="s">
        <v>477</v>
      </c>
      <c r="D27" s="44" t="s">
        <v>478</v>
      </c>
      <c r="E27" s="44" t="s">
        <v>479</v>
      </c>
      <c r="F27" s="44" t="s">
        <v>480</v>
      </c>
      <c r="G27" s="44" t="s">
        <v>481</v>
      </c>
      <c r="H27" s="72" t="s">
        <v>294</v>
      </c>
      <c r="I27" s="44">
        <v>38184022</v>
      </c>
      <c r="J27" s="72" t="s">
        <v>283</v>
      </c>
      <c r="K27" s="44" t="s">
        <v>482</v>
      </c>
      <c r="L27" s="44" t="s">
        <v>483</v>
      </c>
      <c r="M27" s="47" t="s">
        <v>484</v>
      </c>
      <c r="N27" s="66" t="s">
        <v>287</v>
      </c>
      <c r="O27" s="67" t="s">
        <v>287</v>
      </c>
    </row>
    <row r="28" spans="1:15">
      <c r="A28" s="74">
        <v>300027</v>
      </c>
      <c r="B28" s="44" t="s">
        <v>298</v>
      </c>
      <c r="C28" s="44" t="s">
        <v>485</v>
      </c>
      <c r="D28" s="44" t="s">
        <v>486</v>
      </c>
      <c r="E28" s="44" t="s">
        <v>487</v>
      </c>
      <c r="F28" s="44" t="s">
        <v>488</v>
      </c>
      <c r="G28" s="44" t="s">
        <v>489</v>
      </c>
      <c r="H28" s="72" t="s">
        <v>490</v>
      </c>
      <c r="I28" s="44">
        <v>70701000</v>
      </c>
      <c r="J28" s="72" t="s">
        <v>283</v>
      </c>
      <c r="K28" s="44" t="s">
        <v>491</v>
      </c>
      <c r="L28" s="44" t="s">
        <v>492</v>
      </c>
      <c r="M28" s="47" t="s">
        <v>493</v>
      </c>
      <c r="N28" s="66" t="s">
        <v>287</v>
      </c>
      <c r="O28" s="67" t="s">
        <v>287</v>
      </c>
    </row>
    <row r="29" spans="1:15">
      <c r="A29" s="74">
        <v>300028</v>
      </c>
      <c r="B29" s="44" t="s">
        <v>494</v>
      </c>
      <c r="C29" s="44" t="s">
        <v>495</v>
      </c>
      <c r="D29" s="44" t="s">
        <v>496</v>
      </c>
      <c r="E29" s="44" t="s">
        <v>497</v>
      </c>
      <c r="F29" s="44" t="s">
        <v>498</v>
      </c>
      <c r="G29" s="44" t="s">
        <v>293</v>
      </c>
      <c r="H29" s="72" t="s">
        <v>294</v>
      </c>
      <c r="I29" s="44">
        <v>37701042</v>
      </c>
      <c r="J29" s="72" t="s">
        <v>283</v>
      </c>
      <c r="K29" s="44" t="s">
        <v>499</v>
      </c>
      <c r="L29" s="44" t="s">
        <v>500</v>
      </c>
      <c r="M29" s="47" t="s">
        <v>501</v>
      </c>
      <c r="N29" s="66" t="s">
        <v>287</v>
      </c>
      <c r="O29" s="67" t="s">
        <v>139</v>
      </c>
    </row>
    <row r="30" spans="1:15">
      <c r="A30" s="74">
        <v>300029</v>
      </c>
      <c r="B30" s="44" t="s">
        <v>502</v>
      </c>
      <c r="C30" s="44" t="s">
        <v>503</v>
      </c>
      <c r="D30" s="44" t="s">
        <v>504</v>
      </c>
      <c r="E30" s="44" t="s">
        <v>505</v>
      </c>
      <c r="F30" s="44" t="s">
        <v>506</v>
      </c>
      <c r="G30" s="44" t="s">
        <v>293</v>
      </c>
      <c r="H30" s="72" t="s">
        <v>294</v>
      </c>
      <c r="I30" s="44">
        <v>37701021</v>
      </c>
      <c r="J30" s="72" t="s">
        <v>283</v>
      </c>
      <c r="K30" s="44" t="s">
        <v>507</v>
      </c>
      <c r="L30" s="44" t="s">
        <v>508</v>
      </c>
      <c r="M30" s="47" t="s">
        <v>509</v>
      </c>
      <c r="N30" s="66" t="s">
        <v>287</v>
      </c>
      <c r="O30" s="67" t="s">
        <v>139</v>
      </c>
    </row>
    <row r="31" spans="1:15">
      <c r="A31" s="74">
        <v>300030</v>
      </c>
      <c r="B31" s="44" t="s">
        <v>510</v>
      </c>
      <c r="C31" s="44" t="s">
        <v>511</v>
      </c>
      <c r="D31" s="44" t="s">
        <v>512</v>
      </c>
      <c r="E31" s="44" t="s">
        <v>513</v>
      </c>
      <c r="F31" s="44" t="s">
        <v>514</v>
      </c>
      <c r="G31" s="44" t="s">
        <v>293</v>
      </c>
      <c r="H31" s="72" t="s">
        <v>294</v>
      </c>
      <c r="I31" s="44" t="s">
        <v>515</v>
      </c>
      <c r="J31" s="72" t="s">
        <v>283</v>
      </c>
      <c r="K31" s="44" t="s">
        <v>516</v>
      </c>
      <c r="L31" s="44" t="s">
        <v>517</v>
      </c>
      <c r="M31" s="47" t="s">
        <v>518</v>
      </c>
      <c r="N31" s="66" t="s">
        <v>287</v>
      </c>
      <c r="O31" s="67" t="s">
        <v>139</v>
      </c>
    </row>
    <row r="32" spans="1:15">
      <c r="A32" s="74">
        <v>300031</v>
      </c>
      <c r="B32" s="44" t="s">
        <v>388</v>
      </c>
      <c r="C32" s="44" t="s">
        <v>519</v>
      </c>
      <c r="D32" s="44" t="s">
        <v>520</v>
      </c>
      <c r="E32" s="44" t="s">
        <v>521</v>
      </c>
      <c r="F32" s="44" t="s">
        <v>522</v>
      </c>
      <c r="G32" s="44" t="s">
        <v>303</v>
      </c>
      <c r="H32" s="72" t="s">
        <v>282</v>
      </c>
      <c r="I32" s="44">
        <v>4794000</v>
      </c>
      <c r="J32" s="72" t="s">
        <v>283</v>
      </c>
      <c r="K32" s="44" t="s">
        <v>523</v>
      </c>
      <c r="L32" s="44" t="s">
        <v>524</v>
      </c>
      <c r="M32" s="47" t="s">
        <v>525</v>
      </c>
      <c r="N32" s="66" t="s">
        <v>287</v>
      </c>
      <c r="O32" s="67" t="s">
        <v>287</v>
      </c>
    </row>
    <row r="33" spans="1:15">
      <c r="A33" s="74">
        <v>300032</v>
      </c>
      <c r="B33" s="44" t="s">
        <v>339</v>
      </c>
      <c r="C33" s="44" t="s">
        <v>526</v>
      </c>
      <c r="D33" s="44" t="s">
        <v>527</v>
      </c>
      <c r="E33" s="44" t="s">
        <v>528</v>
      </c>
      <c r="F33" s="44" t="s">
        <v>529</v>
      </c>
      <c r="G33" s="44" t="s">
        <v>344</v>
      </c>
      <c r="H33" s="72" t="s">
        <v>294</v>
      </c>
      <c r="I33" s="44">
        <v>31030150</v>
      </c>
      <c r="J33" s="72" t="s">
        <v>283</v>
      </c>
      <c r="K33" s="44" t="s">
        <v>530</v>
      </c>
      <c r="L33" s="44" t="s">
        <v>531</v>
      </c>
      <c r="M33" s="47" t="s">
        <v>532</v>
      </c>
      <c r="N33" s="66" t="s">
        <v>287</v>
      </c>
      <c r="O33" s="67" t="s">
        <v>287</v>
      </c>
    </row>
    <row r="34" spans="1:15">
      <c r="A34" s="74">
        <v>300033</v>
      </c>
      <c r="B34" s="44" t="s">
        <v>533</v>
      </c>
      <c r="C34" s="44" t="s">
        <v>534</v>
      </c>
      <c r="D34" s="44" t="s">
        <v>535</v>
      </c>
      <c r="E34" s="44" t="s">
        <v>536</v>
      </c>
      <c r="F34" s="44" t="s">
        <v>537</v>
      </c>
      <c r="G34" s="44" t="s">
        <v>293</v>
      </c>
      <c r="H34" s="72" t="s">
        <v>294</v>
      </c>
      <c r="I34" s="44">
        <v>37701734</v>
      </c>
      <c r="J34" s="72" t="s">
        <v>283</v>
      </c>
      <c r="K34" s="44" t="s">
        <v>538</v>
      </c>
      <c r="L34" s="44" t="s">
        <v>539</v>
      </c>
      <c r="M34" s="47" t="s">
        <v>540</v>
      </c>
      <c r="N34" s="66" t="s">
        <v>287</v>
      </c>
      <c r="O34" s="67" t="s">
        <v>139</v>
      </c>
    </row>
    <row r="35" spans="1:15">
      <c r="A35" s="74">
        <v>300034</v>
      </c>
      <c r="B35" s="44" t="s">
        <v>339</v>
      </c>
      <c r="C35" s="44" t="s">
        <v>541</v>
      </c>
      <c r="D35" s="44" t="s">
        <v>542</v>
      </c>
      <c r="E35" s="44" t="s">
        <v>543</v>
      </c>
      <c r="F35" s="44" t="s">
        <v>544</v>
      </c>
      <c r="G35" s="44" t="s">
        <v>344</v>
      </c>
      <c r="H35" s="72" t="s">
        <v>294</v>
      </c>
      <c r="I35" s="44">
        <v>30130148</v>
      </c>
      <c r="J35" s="72" t="s">
        <v>283</v>
      </c>
      <c r="K35" s="44" t="s">
        <v>545</v>
      </c>
      <c r="L35" s="44" t="s">
        <v>546</v>
      </c>
      <c r="M35" s="47" t="s">
        <v>547</v>
      </c>
      <c r="N35" s="66" t="s">
        <v>287</v>
      </c>
      <c r="O35" s="67" t="s">
        <v>287</v>
      </c>
    </row>
    <row r="36" spans="1:15">
      <c r="A36" s="74">
        <v>300035</v>
      </c>
      <c r="B36" s="44" t="s">
        <v>548</v>
      </c>
      <c r="C36" s="44" t="s">
        <v>549</v>
      </c>
      <c r="D36" s="44" t="s">
        <v>550</v>
      </c>
      <c r="E36" s="44" t="s">
        <v>551</v>
      </c>
      <c r="F36" s="44" t="s">
        <v>552</v>
      </c>
      <c r="G36" s="44" t="s">
        <v>293</v>
      </c>
      <c r="H36" s="72" t="s">
        <v>294</v>
      </c>
      <c r="I36" s="44">
        <v>37701042</v>
      </c>
      <c r="J36" s="72" t="s">
        <v>283</v>
      </c>
      <c r="K36" s="44" t="s">
        <v>553</v>
      </c>
      <c r="L36" s="44" t="s">
        <v>554</v>
      </c>
      <c r="M36" s="47" t="s">
        <v>555</v>
      </c>
      <c r="N36" s="66" t="s">
        <v>287</v>
      </c>
      <c r="O36" s="67" t="s">
        <v>139</v>
      </c>
    </row>
    <row r="37" spans="1:15">
      <c r="A37" s="74">
        <v>300036</v>
      </c>
      <c r="B37" s="44" t="s">
        <v>556</v>
      </c>
      <c r="C37" s="44" t="s">
        <v>557</v>
      </c>
      <c r="D37" s="44" t="s">
        <v>558</v>
      </c>
      <c r="E37" s="44" t="s">
        <v>559</v>
      </c>
      <c r="F37" s="44" t="s">
        <v>560</v>
      </c>
      <c r="G37" s="44" t="s">
        <v>293</v>
      </c>
      <c r="H37" s="72" t="s">
        <v>294</v>
      </c>
      <c r="I37" s="44">
        <v>37706206</v>
      </c>
      <c r="J37" s="72" t="s">
        <v>283</v>
      </c>
      <c r="K37" s="44" t="s">
        <v>561</v>
      </c>
      <c r="L37" s="44" t="s">
        <v>562</v>
      </c>
      <c r="M37" s="47" t="s">
        <v>563</v>
      </c>
      <c r="N37" s="66" t="s">
        <v>287</v>
      </c>
      <c r="O37" s="67" t="s">
        <v>139</v>
      </c>
    </row>
    <row r="38" spans="1:15">
      <c r="A38" s="74">
        <v>300037</v>
      </c>
      <c r="B38" s="44" t="s">
        <v>298</v>
      </c>
      <c r="C38" s="44" t="s">
        <v>564</v>
      </c>
      <c r="D38" s="44" t="s">
        <v>565</v>
      </c>
      <c r="E38" s="44" t="s">
        <v>566</v>
      </c>
      <c r="F38" s="44" t="s">
        <v>567</v>
      </c>
      <c r="G38" s="44" t="s">
        <v>303</v>
      </c>
      <c r="H38" s="72" t="s">
        <v>282</v>
      </c>
      <c r="I38" s="44">
        <v>1310100</v>
      </c>
      <c r="J38" s="72" t="s">
        <v>283</v>
      </c>
      <c r="K38" s="44" t="s">
        <v>568</v>
      </c>
      <c r="L38" s="44" t="s">
        <v>569</v>
      </c>
      <c r="M38" s="47" t="s">
        <v>570</v>
      </c>
      <c r="N38" s="66" t="s">
        <v>287</v>
      </c>
      <c r="O38" s="67" t="s">
        <v>287</v>
      </c>
    </row>
    <row r="39" spans="1:15">
      <c r="A39" s="74">
        <v>300038</v>
      </c>
      <c r="B39" s="44" t="s">
        <v>548</v>
      </c>
      <c r="C39" s="44" t="s">
        <v>571</v>
      </c>
      <c r="D39" s="44" t="s">
        <v>572</v>
      </c>
      <c r="E39" s="44" t="s">
        <v>573</v>
      </c>
      <c r="F39" s="44" t="s">
        <v>574</v>
      </c>
      <c r="G39" s="44" t="s">
        <v>293</v>
      </c>
      <c r="H39" s="72" t="s">
        <v>294</v>
      </c>
      <c r="I39" s="44">
        <v>37705309</v>
      </c>
      <c r="J39" s="72" t="s">
        <v>283</v>
      </c>
      <c r="K39" s="44" t="s">
        <v>575</v>
      </c>
      <c r="L39" s="44" t="s">
        <v>576</v>
      </c>
      <c r="M39" s="47" t="s">
        <v>577</v>
      </c>
      <c r="N39" s="66" t="s">
        <v>287</v>
      </c>
      <c r="O39" s="67" t="s">
        <v>139</v>
      </c>
    </row>
    <row r="40" spans="1:15">
      <c r="A40" s="74">
        <v>300039</v>
      </c>
      <c r="B40" s="44" t="s">
        <v>460</v>
      </c>
      <c r="C40" s="44" t="s">
        <v>578</v>
      </c>
      <c r="D40" s="44" t="s">
        <v>579</v>
      </c>
      <c r="E40" s="44" t="s">
        <v>580</v>
      </c>
      <c r="F40" s="44" t="s">
        <v>581</v>
      </c>
      <c r="G40" s="44" t="s">
        <v>303</v>
      </c>
      <c r="H40" s="72" t="s">
        <v>282</v>
      </c>
      <c r="I40" s="44">
        <v>4775220</v>
      </c>
      <c r="J40" s="72" t="s">
        <v>283</v>
      </c>
      <c r="K40" s="44" t="s">
        <v>582</v>
      </c>
      <c r="L40" s="44" t="s">
        <v>583</v>
      </c>
      <c r="M40" s="47" t="s">
        <v>584</v>
      </c>
      <c r="N40" s="66" t="s">
        <v>287</v>
      </c>
      <c r="O40" s="67" t="s">
        <v>287</v>
      </c>
    </row>
    <row r="41" spans="1:15">
      <c r="A41" s="74">
        <v>300040</v>
      </c>
      <c r="B41" s="44" t="s">
        <v>452</v>
      </c>
      <c r="C41" s="44" t="s">
        <v>585</v>
      </c>
      <c r="D41" s="44" t="s">
        <v>586</v>
      </c>
      <c r="E41" s="44" t="s">
        <v>587</v>
      </c>
      <c r="F41" s="44" t="s">
        <v>588</v>
      </c>
      <c r="G41" s="44" t="s">
        <v>293</v>
      </c>
      <c r="H41" s="72" t="s">
        <v>294</v>
      </c>
      <c r="I41" s="44">
        <v>37704016</v>
      </c>
      <c r="J41" s="72" t="s">
        <v>283</v>
      </c>
      <c r="K41" s="44" t="s">
        <v>589</v>
      </c>
      <c r="L41" s="44" t="s">
        <v>590</v>
      </c>
      <c r="M41" s="47" t="s">
        <v>591</v>
      </c>
      <c r="N41" s="66" t="s">
        <v>287</v>
      </c>
      <c r="O41" s="67" t="s">
        <v>139</v>
      </c>
    </row>
    <row r="42" spans="1:15">
      <c r="A42" s="74">
        <v>300041</v>
      </c>
      <c r="B42" s="44" t="s">
        <v>380</v>
      </c>
      <c r="C42" s="44" t="s">
        <v>592</v>
      </c>
      <c r="D42" s="44" t="s">
        <v>593</v>
      </c>
      <c r="E42" s="44" t="s">
        <v>594</v>
      </c>
      <c r="F42" s="44" t="s">
        <v>595</v>
      </c>
      <c r="G42" s="44" t="s">
        <v>293</v>
      </c>
      <c r="H42" s="72" t="s">
        <v>294</v>
      </c>
      <c r="I42" s="44">
        <v>37701042</v>
      </c>
      <c r="J42" s="72" t="s">
        <v>283</v>
      </c>
      <c r="K42" s="44" t="s">
        <v>596</v>
      </c>
      <c r="L42" s="49" t="s">
        <v>597</v>
      </c>
      <c r="M42" s="47" t="s">
        <v>598</v>
      </c>
      <c r="N42" s="66" t="s">
        <v>287</v>
      </c>
      <c r="O42" s="67" t="s">
        <v>139</v>
      </c>
    </row>
    <row r="43" spans="1:15">
      <c r="A43" s="74">
        <v>300042</v>
      </c>
      <c r="B43" s="44" t="s">
        <v>364</v>
      </c>
      <c r="C43" s="44" t="s">
        <v>599</v>
      </c>
      <c r="D43" s="44" t="s">
        <v>600</v>
      </c>
      <c r="E43" s="44" t="s">
        <v>601</v>
      </c>
      <c r="F43" s="44" t="s">
        <v>602</v>
      </c>
      <c r="G43" s="44" t="s">
        <v>603</v>
      </c>
      <c r="H43" s="72" t="s">
        <v>294</v>
      </c>
      <c r="I43" s="44">
        <v>32210180</v>
      </c>
      <c r="J43" s="72" t="s">
        <v>283</v>
      </c>
      <c r="K43" s="44" t="s">
        <v>604</v>
      </c>
      <c r="L43" s="50" t="s">
        <v>605</v>
      </c>
      <c r="M43" s="47" t="s">
        <v>606</v>
      </c>
      <c r="N43" s="66" t="s">
        <v>287</v>
      </c>
      <c r="O43" s="67" t="s">
        <v>287</v>
      </c>
    </row>
    <row r="44" spans="1:15">
      <c r="A44" s="74">
        <v>300043</v>
      </c>
      <c r="B44" s="44" t="s">
        <v>607</v>
      </c>
      <c r="C44" s="44" t="s">
        <v>608</v>
      </c>
      <c r="D44" s="44" t="s">
        <v>609</v>
      </c>
      <c r="E44" s="44" t="s">
        <v>610</v>
      </c>
      <c r="F44" s="44" t="s">
        <v>611</v>
      </c>
      <c r="G44" s="44" t="s">
        <v>612</v>
      </c>
      <c r="H44" s="72" t="s">
        <v>282</v>
      </c>
      <c r="I44" s="44">
        <v>13482225</v>
      </c>
      <c r="J44" s="72" t="s">
        <v>283</v>
      </c>
      <c r="K44" s="44" t="s">
        <v>322</v>
      </c>
      <c r="L44" s="44" t="s">
        <v>613</v>
      </c>
      <c r="M44" s="47" t="s">
        <v>614</v>
      </c>
      <c r="N44" s="66" t="s">
        <v>287</v>
      </c>
      <c r="O44" s="67" t="s">
        <v>287</v>
      </c>
    </row>
    <row r="45" spans="1:15">
      <c r="A45" s="74">
        <v>300044</v>
      </c>
      <c r="B45" s="44" t="s">
        <v>315</v>
      </c>
      <c r="C45" s="44" t="s">
        <v>615</v>
      </c>
      <c r="D45" s="44" t="s">
        <v>616</v>
      </c>
      <c r="E45" s="44" t="s">
        <v>617</v>
      </c>
      <c r="F45" s="44" t="s">
        <v>618</v>
      </c>
      <c r="G45" s="44" t="s">
        <v>293</v>
      </c>
      <c r="H45" s="72" t="s">
        <v>294</v>
      </c>
      <c r="I45" s="44">
        <v>37701021</v>
      </c>
      <c r="J45" s="72" t="s">
        <v>283</v>
      </c>
      <c r="K45" s="44" t="s">
        <v>247</v>
      </c>
      <c r="L45" s="44" t="s">
        <v>619</v>
      </c>
      <c r="M45" s="47" t="s">
        <v>322</v>
      </c>
      <c r="N45" s="66" t="s">
        <v>287</v>
      </c>
      <c r="O45" s="67" t="s">
        <v>139</v>
      </c>
    </row>
    <row r="46" spans="1:15">
      <c r="A46" s="74">
        <v>300045</v>
      </c>
      <c r="B46" s="44" t="s">
        <v>276</v>
      </c>
      <c r="C46" s="44" t="s">
        <v>620</v>
      </c>
      <c r="D46" s="44" t="s">
        <v>621</v>
      </c>
      <c r="E46" s="44" t="s">
        <v>622</v>
      </c>
      <c r="F46" s="44" t="s">
        <v>623</v>
      </c>
      <c r="G46" s="44" t="s">
        <v>293</v>
      </c>
      <c r="H46" s="72" t="s">
        <v>294</v>
      </c>
      <c r="I46" s="44">
        <v>37701016</v>
      </c>
      <c r="J46" s="72" t="s">
        <v>283</v>
      </c>
      <c r="K46" s="44" t="s">
        <v>247</v>
      </c>
      <c r="L46" s="44" t="s">
        <v>624</v>
      </c>
      <c r="M46" s="47" t="s">
        <v>322</v>
      </c>
      <c r="N46" s="66" t="s">
        <v>287</v>
      </c>
      <c r="O46" s="67" t="s">
        <v>139</v>
      </c>
    </row>
    <row r="47" spans="1:15">
      <c r="A47" s="74">
        <v>300046</v>
      </c>
      <c r="B47" s="44" t="s">
        <v>276</v>
      </c>
      <c r="C47" s="44" t="s">
        <v>625</v>
      </c>
      <c r="D47" s="44" t="s">
        <v>626</v>
      </c>
      <c r="E47" s="44" t="s">
        <v>627</v>
      </c>
      <c r="F47" s="44" t="s">
        <v>628</v>
      </c>
      <c r="G47" s="44" t="s">
        <v>293</v>
      </c>
      <c r="H47" s="72" t="s">
        <v>294</v>
      </c>
      <c r="I47" s="44">
        <v>37706029</v>
      </c>
      <c r="J47" s="72" t="s">
        <v>283</v>
      </c>
      <c r="K47" s="44" t="s">
        <v>629</v>
      </c>
      <c r="L47" s="44" t="s">
        <v>630</v>
      </c>
      <c r="M47" s="47" t="s">
        <v>631</v>
      </c>
      <c r="N47" s="66" t="s">
        <v>287</v>
      </c>
      <c r="O47" s="67" t="s">
        <v>139</v>
      </c>
    </row>
    <row r="48" spans="1:15">
      <c r="A48" s="74">
        <v>300047</v>
      </c>
      <c r="B48" s="44" t="s">
        <v>632</v>
      </c>
      <c r="C48" s="44" t="s">
        <v>633</v>
      </c>
      <c r="D48" s="44" t="s">
        <v>634</v>
      </c>
      <c r="E48" s="44" t="s">
        <v>635</v>
      </c>
      <c r="F48" s="44" t="s">
        <v>636</v>
      </c>
      <c r="G48" s="44" t="s">
        <v>637</v>
      </c>
      <c r="H48" s="72" t="s">
        <v>638</v>
      </c>
      <c r="I48" s="44">
        <v>81750140</v>
      </c>
      <c r="J48" s="72" t="s">
        <v>283</v>
      </c>
      <c r="K48" s="44" t="s">
        <v>247</v>
      </c>
      <c r="L48" s="44" t="s">
        <v>639</v>
      </c>
      <c r="M48" s="47" t="s">
        <v>322</v>
      </c>
      <c r="N48" s="66" t="s">
        <v>139</v>
      </c>
      <c r="O48" s="67" t="s">
        <v>287</v>
      </c>
    </row>
    <row r="49" spans="1:15">
      <c r="A49" s="74">
        <v>300048</v>
      </c>
      <c r="B49" s="44" t="s">
        <v>315</v>
      </c>
      <c r="C49" s="44" t="s">
        <v>640</v>
      </c>
      <c r="D49" s="44" t="s">
        <v>641</v>
      </c>
      <c r="E49" s="44" t="s">
        <v>642</v>
      </c>
      <c r="F49" s="44" t="s">
        <v>643</v>
      </c>
      <c r="G49" s="44" t="s">
        <v>293</v>
      </c>
      <c r="H49" s="72" t="s">
        <v>294</v>
      </c>
      <c r="I49" s="44">
        <v>37701248</v>
      </c>
      <c r="J49" s="72" t="s">
        <v>283</v>
      </c>
      <c r="K49" s="44" t="s">
        <v>247</v>
      </c>
      <c r="L49" s="44" t="s">
        <v>247</v>
      </c>
      <c r="M49" s="47" t="s">
        <v>247</v>
      </c>
      <c r="N49" s="66" t="s">
        <v>287</v>
      </c>
      <c r="O49" s="67" t="s">
        <v>139</v>
      </c>
    </row>
    <row r="50" spans="1:15">
      <c r="A50" s="74">
        <v>300049</v>
      </c>
      <c r="B50" s="44" t="s">
        <v>276</v>
      </c>
      <c r="C50" s="44" t="s">
        <v>644</v>
      </c>
      <c r="D50" s="44" t="s">
        <v>645</v>
      </c>
      <c r="E50" s="44" t="s">
        <v>646</v>
      </c>
      <c r="F50" s="44" t="s">
        <v>647</v>
      </c>
      <c r="G50" s="44" t="s">
        <v>648</v>
      </c>
      <c r="H50" s="72" t="s">
        <v>282</v>
      </c>
      <c r="I50" s="44">
        <v>1521020</v>
      </c>
      <c r="J50" s="72" t="s">
        <v>283</v>
      </c>
      <c r="K50" s="44" t="s">
        <v>247</v>
      </c>
      <c r="L50" s="44" t="s">
        <v>247</v>
      </c>
      <c r="M50" s="51" t="s">
        <v>247</v>
      </c>
      <c r="N50" s="66" t="s">
        <v>139</v>
      </c>
      <c r="O50" s="67" t="s">
        <v>287</v>
      </c>
    </row>
    <row r="51" spans="1:15">
      <c r="A51" s="74">
        <v>300050</v>
      </c>
      <c r="B51" s="44" t="s">
        <v>556</v>
      </c>
      <c r="C51" s="44" t="s">
        <v>649</v>
      </c>
      <c r="D51" s="44" t="s">
        <v>649</v>
      </c>
      <c r="E51" s="44" t="s">
        <v>650</v>
      </c>
      <c r="F51" s="44" t="s">
        <v>651</v>
      </c>
      <c r="G51" s="44" t="s">
        <v>303</v>
      </c>
      <c r="H51" s="72" t="s">
        <v>282</v>
      </c>
      <c r="I51" s="44">
        <v>2313970</v>
      </c>
      <c r="J51" s="72" t="s">
        <v>283</v>
      </c>
      <c r="K51" s="44" t="s">
        <v>247</v>
      </c>
      <c r="L51" s="44" t="s">
        <v>247</v>
      </c>
      <c r="M51" s="45" t="s">
        <v>247</v>
      </c>
      <c r="N51" s="66" t="s">
        <v>139</v>
      </c>
      <c r="O51" s="67" t="s">
        <v>287</v>
      </c>
    </row>
    <row r="52" spans="1:15">
      <c r="A52" s="74">
        <v>300051</v>
      </c>
      <c r="B52" s="44" t="s">
        <v>652</v>
      </c>
      <c r="C52" s="44" t="s">
        <v>653</v>
      </c>
      <c r="D52" s="44" t="s">
        <v>653</v>
      </c>
      <c r="E52" s="44" t="s">
        <v>654</v>
      </c>
      <c r="F52" s="44" t="s">
        <v>655</v>
      </c>
      <c r="G52" s="44" t="s">
        <v>656</v>
      </c>
      <c r="H52" s="72" t="s">
        <v>282</v>
      </c>
      <c r="I52" s="44">
        <v>13405269</v>
      </c>
      <c r="J52" s="72" t="s">
        <v>283</v>
      </c>
      <c r="K52" s="44" t="s">
        <v>247</v>
      </c>
      <c r="L52" s="44" t="s">
        <v>247</v>
      </c>
      <c r="M52" s="45" t="s">
        <v>247</v>
      </c>
      <c r="N52" s="66" t="s">
        <v>139</v>
      </c>
      <c r="O52" s="67" t="s">
        <v>287</v>
      </c>
    </row>
    <row r="53" spans="1:15">
      <c r="A53" s="74">
        <v>300052</v>
      </c>
      <c r="B53" s="44" t="s">
        <v>276</v>
      </c>
      <c r="C53" s="44" t="s">
        <v>657</v>
      </c>
      <c r="D53" s="44" t="s">
        <v>657</v>
      </c>
      <c r="E53" s="44" t="s">
        <v>658</v>
      </c>
      <c r="F53" s="44" t="s">
        <v>659</v>
      </c>
      <c r="G53" s="44" t="s">
        <v>303</v>
      </c>
      <c r="H53" s="72" t="s">
        <v>282</v>
      </c>
      <c r="I53" s="44">
        <v>5275000</v>
      </c>
      <c r="J53" s="72" t="s">
        <v>283</v>
      </c>
      <c r="K53" s="44" t="s">
        <v>247</v>
      </c>
      <c r="L53" s="44" t="s">
        <v>247</v>
      </c>
      <c r="M53" s="45" t="s">
        <v>247</v>
      </c>
      <c r="N53" s="66" t="s">
        <v>139</v>
      </c>
      <c r="O53" s="67" t="s">
        <v>287</v>
      </c>
    </row>
    <row r="54" spans="1:15">
      <c r="A54" s="74">
        <v>300053</v>
      </c>
      <c r="B54" s="44" t="s">
        <v>364</v>
      </c>
      <c r="C54" s="44" t="s">
        <v>660</v>
      </c>
      <c r="D54" s="44" t="s">
        <v>661</v>
      </c>
      <c r="E54" s="44" t="s">
        <v>662</v>
      </c>
      <c r="F54" s="44" t="s">
        <v>663</v>
      </c>
      <c r="G54" s="44" t="s">
        <v>293</v>
      </c>
      <c r="H54" s="72" t="s">
        <v>294</v>
      </c>
      <c r="I54" s="44">
        <v>37701750</v>
      </c>
      <c r="J54" s="72" t="s">
        <v>283</v>
      </c>
      <c r="K54" s="44" t="s">
        <v>664</v>
      </c>
      <c r="L54" s="44" t="s">
        <v>665</v>
      </c>
      <c r="M54" s="45" t="s">
        <v>666</v>
      </c>
      <c r="N54" s="66" t="s">
        <v>287</v>
      </c>
      <c r="O54" s="67" t="s">
        <v>139</v>
      </c>
    </row>
    <row r="55" spans="1:15">
      <c r="A55" s="74">
        <v>300054</v>
      </c>
      <c r="B55" s="44" t="s">
        <v>276</v>
      </c>
      <c r="C55" s="44" t="s">
        <v>667</v>
      </c>
      <c r="D55" s="44" t="s">
        <v>668</v>
      </c>
      <c r="E55" s="44" t="s">
        <v>669</v>
      </c>
      <c r="F55" s="44" t="s">
        <v>670</v>
      </c>
      <c r="G55" s="44" t="s">
        <v>293</v>
      </c>
      <c r="H55" s="72" t="s">
        <v>294</v>
      </c>
      <c r="I55" s="44">
        <v>37701021</v>
      </c>
      <c r="J55" s="72" t="s">
        <v>283</v>
      </c>
      <c r="K55" s="44" t="s">
        <v>247</v>
      </c>
      <c r="L55" s="44" t="s">
        <v>671</v>
      </c>
      <c r="M55" s="45" t="s">
        <v>322</v>
      </c>
      <c r="N55" s="66" t="s">
        <v>287</v>
      </c>
      <c r="O55" s="67" t="s">
        <v>139</v>
      </c>
    </row>
    <row r="56" spans="1:15">
      <c r="A56" s="74">
        <v>300055</v>
      </c>
      <c r="B56" s="44" t="s">
        <v>672</v>
      </c>
      <c r="C56" s="44" t="s">
        <v>673</v>
      </c>
      <c r="D56" s="44" t="s">
        <v>674</v>
      </c>
      <c r="E56" s="44" t="s">
        <v>675</v>
      </c>
      <c r="F56" s="44" t="s">
        <v>676</v>
      </c>
      <c r="G56" s="44" t="s">
        <v>677</v>
      </c>
      <c r="H56" s="72" t="s">
        <v>294</v>
      </c>
      <c r="I56" s="44">
        <v>37502060</v>
      </c>
      <c r="J56" s="72" t="s">
        <v>283</v>
      </c>
      <c r="K56" s="44" t="s">
        <v>247</v>
      </c>
      <c r="L56" s="44" t="s">
        <v>678</v>
      </c>
      <c r="M56" s="45" t="s">
        <v>322</v>
      </c>
      <c r="N56" s="66" t="s">
        <v>139</v>
      </c>
      <c r="O56" s="67" t="s">
        <v>287</v>
      </c>
    </row>
    <row r="57" spans="1:15">
      <c r="A57" s="74">
        <v>300056</v>
      </c>
      <c r="B57" s="44" t="s">
        <v>556</v>
      </c>
      <c r="C57" s="44" t="s">
        <v>679</v>
      </c>
      <c r="D57" s="44" t="s">
        <v>680</v>
      </c>
      <c r="E57" s="44" t="s">
        <v>681</v>
      </c>
      <c r="F57" s="44" t="s">
        <v>682</v>
      </c>
      <c r="G57" s="44" t="s">
        <v>683</v>
      </c>
      <c r="H57" s="72" t="s">
        <v>282</v>
      </c>
      <c r="I57" s="44">
        <v>13184654</v>
      </c>
      <c r="J57" s="72" t="s">
        <v>283</v>
      </c>
      <c r="K57" s="44" t="s">
        <v>684</v>
      </c>
      <c r="L57" s="44" t="s">
        <v>685</v>
      </c>
      <c r="M57" s="45" t="s">
        <v>686</v>
      </c>
      <c r="N57" s="66" t="s">
        <v>139</v>
      </c>
      <c r="O57" s="67" t="s">
        <v>287</v>
      </c>
    </row>
    <row r="58" spans="1:15">
      <c r="A58" s="74">
        <v>300057</v>
      </c>
      <c r="B58" s="44" t="s">
        <v>556</v>
      </c>
      <c r="C58" s="44" t="s">
        <v>687</v>
      </c>
      <c r="D58" s="44" t="s">
        <v>688</v>
      </c>
      <c r="E58" s="44" t="s">
        <v>689</v>
      </c>
      <c r="F58" s="44" t="s">
        <v>690</v>
      </c>
      <c r="G58" s="44" t="s">
        <v>691</v>
      </c>
      <c r="H58" s="72" t="s">
        <v>294</v>
      </c>
      <c r="I58" s="44">
        <v>39403261</v>
      </c>
      <c r="J58" s="72" t="s">
        <v>283</v>
      </c>
      <c r="K58" s="44" t="s">
        <v>247</v>
      </c>
      <c r="L58" s="44" t="s">
        <v>692</v>
      </c>
      <c r="M58" s="45" t="s">
        <v>322</v>
      </c>
      <c r="N58" s="66" t="s">
        <v>139</v>
      </c>
      <c r="O58" s="67" t="s">
        <v>287</v>
      </c>
    </row>
    <row r="59" spans="1:15">
      <c r="A59" s="74">
        <v>300058</v>
      </c>
      <c r="B59" s="44" t="s">
        <v>307</v>
      </c>
      <c r="C59" s="44" t="s">
        <v>693</v>
      </c>
      <c r="D59" s="44" t="s">
        <v>693</v>
      </c>
      <c r="E59" s="44" t="s">
        <v>694</v>
      </c>
      <c r="F59" s="44" t="s">
        <v>695</v>
      </c>
      <c r="G59" s="44" t="s">
        <v>293</v>
      </c>
      <c r="H59" s="72" t="s">
        <v>294</v>
      </c>
      <c r="I59" s="44">
        <v>37701036</v>
      </c>
      <c r="J59" s="72" t="s">
        <v>283</v>
      </c>
      <c r="K59" s="44" t="s">
        <v>247</v>
      </c>
      <c r="L59" s="44" t="s">
        <v>696</v>
      </c>
      <c r="M59" s="45" t="s">
        <v>322</v>
      </c>
      <c r="N59" s="66" t="s">
        <v>287</v>
      </c>
      <c r="O59" s="67" t="s">
        <v>139</v>
      </c>
    </row>
    <row r="60" spans="1:15">
      <c r="A60" s="74">
        <v>300059</v>
      </c>
      <c r="B60" s="44" t="s">
        <v>672</v>
      </c>
      <c r="C60" s="44" t="s">
        <v>697</v>
      </c>
      <c r="D60" s="44" t="s">
        <v>698</v>
      </c>
      <c r="E60" s="44" t="s">
        <v>699</v>
      </c>
      <c r="F60" s="44" t="s">
        <v>700</v>
      </c>
      <c r="G60" s="44" t="s">
        <v>701</v>
      </c>
      <c r="H60" s="72" t="s">
        <v>702</v>
      </c>
      <c r="I60" s="44">
        <v>22631003</v>
      </c>
      <c r="J60" s="72" t="s">
        <v>283</v>
      </c>
      <c r="K60" s="44" t="s">
        <v>703</v>
      </c>
      <c r="L60" s="44" t="s">
        <v>704</v>
      </c>
      <c r="M60" s="45" t="s">
        <v>322</v>
      </c>
      <c r="N60" s="66" t="s">
        <v>139</v>
      </c>
      <c r="O60" s="67" t="s">
        <v>287</v>
      </c>
    </row>
    <row r="61" spans="1:15">
      <c r="A61" s="74">
        <v>300060</v>
      </c>
      <c r="B61" s="44" t="s">
        <v>276</v>
      </c>
      <c r="C61" s="44" t="s">
        <v>705</v>
      </c>
      <c r="D61" s="44" t="s">
        <v>706</v>
      </c>
      <c r="E61" s="44" t="s">
        <v>707</v>
      </c>
      <c r="F61" s="44" t="s">
        <v>708</v>
      </c>
      <c r="G61" s="44" t="s">
        <v>293</v>
      </c>
      <c r="H61" s="72" t="s">
        <v>294</v>
      </c>
      <c r="I61" s="44">
        <v>37701011</v>
      </c>
      <c r="J61" s="72" t="s">
        <v>283</v>
      </c>
      <c r="K61" s="44" t="s">
        <v>709</v>
      </c>
      <c r="L61" s="44" t="s">
        <v>710</v>
      </c>
      <c r="M61" s="45" t="s">
        <v>711</v>
      </c>
      <c r="N61" s="66" t="s">
        <v>287</v>
      </c>
      <c r="O61" s="67" t="s">
        <v>139</v>
      </c>
    </row>
    <row r="62" spans="1:15">
      <c r="A62" s="74">
        <v>300061</v>
      </c>
      <c r="B62" s="44" t="s">
        <v>276</v>
      </c>
      <c r="C62" s="44" t="s">
        <v>712</v>
      </c>
      <c r="D62" s="44" t="s">
        <v>713</v>
      </c>
      <c r="E62" s="44" t="s">
        <v>714</v>
      </c>
      <c r="F62" s="44" t="s">
        <v>715</v>
      </c>
      <c r="G62" s="44" t="s">
        <v>716</v>
      </c>
      <c r="H62" s="72" t="s">
        <v>294</v>
      </c>
      <c r="I62" s="44">
        <v>35680095</v>
      </c>
      <c r="J62" s="72" t="s">
        <v>283</v>
      </c>
      <c r="K62" s="44" t="s">
        <v>717</v>
      </c>
      <c r="L62" s="44" t="s">
        <v>718</v>
      </c>
      <c r="M62" s="45" t="s">
        <v>719</v>
      </c>
      <c r="N62" s="66" t="s">
        <v>287</v>
      </c>
      <c r="O62" s="67" t="s">
        <v>287</v>
      </c>
    </row>
    <row r="63" spans="1:15">
      <c r="A63" s="74">
        <v>300062</v>
      </c>
      <c r="B63" s="44" t="s">
        <v>315</v>
      </c>
      <c r="C63" s="44" t="s">
        <v>720</v>
      </c>
      <c r="D63" s="44" t="s">
        <v>721</v>
      </c>
      <c r="E63" s="44" t="s">
        <v>722</v>
      </c>
      <c r="F63" s="44" t="s">
        <v>723</v>
      </c>
      <c r="G63" s="44" t="s">
        <v>293</v>
      </c>
      <c r="H63" s="72" t="s">
        <v>294</v>
      </c>
      <c r="I63" s="44">
        <v>37704251</v>
      </c>
      <c r="J63" s="72" t="s">
        <v>283</v>
      </c>
      <c r="K63" s="44" t="s">
        <v>247</v>
      </c>
      <c r="L63" s="44" t="s">
        <v>724</v>
      </c>
      <c r="M63" s="45" t="s">
        <v>322</v>
      </c>
      <c r="N63" s="66" t="s">
        <v>287</v>
      </c>
      <c r="O63" s="67" t="s">
        <v>139</v>
      </c>
    </row>
    <row r="64" spans="1:15">
      <c r="A64" s="74">
        <v>300063</v>
      </c>
      <c r="B64" s="44" t="s">
        <v>388</v>
      </c>
      <c r="C64" s="44" t="s">
        <v>725</v>
      </c>
      <c r="D64" s="44" t="s">
        <v>726</v>
      </c>
      <c r="E64" s="44" t="s">
        <v>727</v>
      </c>
      <c r="F64" s="44" t="s">
        <v>728</v>
      </c>
      <c r="G64" s="44" t="s">
        <v>303</v>
      </c>
      <c r="H64" s="72" t="s">
        <v>282</v>
      </c>
      <c r="I64" s="44">
        <v>5402920</v>
      </c>
      <c r="J64" s="72" t="s">
        <v>283</v>
      </c>
      <c r="K64" s="44" t="s">
        <v>729</v>
      </c>
      <c r="L64" s="44" t="s">
        <v>730</v>
      </c>
      <c r="M64" s="52" t="s">
        <v>731</v>
      </c>
      <c r="N64" s="66" t="s">
        <v>287</v>
      </c>
      <c r="O64" s="67" t="s">
        <v>287</v>
      </c>
    </row>
    <row r="65" spans="1:15">
      <c r="A65" s="74">
        <v>300064</v>
      </c>
      <c r="B65" s="44" t="s">
        <v>732</v>
      </c>
      <c r="C65" s="44" t="s">
        <v>733</v>
      </c>
      <c r="D65" s="44" t="s">
        <v>734</v>
      </c>
      <c r="E65" s="44" t="s">
        <v>735</v>
      </c>
      <c r="F65" s="44" t="s">
        <v>736</v>
      </c>
      <c r="G65" s="44" t="s">
        <v>293</v>
      </c>
      <c r="H65" s="72" t="s">
        <v>294</v>
      </c>
      <c r="I65" s="44">
        <v>37701000</v>
      </c>
      <c r="J65" s="72" t="s">
        <v>283</v>
      </c>
      <c r="K65" s="44" t="s">
        <v>247</v>
      </c>
      <c r="L65" s="44" t="s">
        <v>737</v>
      </c>
      <c r="M65" s="45" t="s">
        <v>322</v>
      </c>
      <c r="N65" s="66" t="s">
        <v>287</v>
      </c>
      <c r="O65" s="67" t="s">
        <v>139</v>
      </c>
    </row>
    <row r="66" spans="1:15">
      <c r="A66" s="74">
        <v>300065</v>
      </c>
      <c r="B66" s="44" t="s">
        <v>315</v>
      </c>
      <c r="C66" s="44" t="s">
        <v>738</v>
      </c>
      <c r="D66" s="44" t="s">
        <v>739</v>
      </c>
      <c r="E66" s="44" t="s">
        <v>740</v>
      </c>
      <c r="F66" s="44" t="s">
        <v>741</v>
      </c>
      <c r="G66" s="44" t="s">
        <v>293</v>
      </c>
      <c r="H66" s="72" t="s">
        <v>294</v>
      </c>
      <c r="I66" s="44">
        <v>37701024</v>
      </c>
      <c r="J66" s="72" t="s">
        <v>283</v>
      </c>
      <c r="K66" s="44" t="s">
        <v>742</v>
      </c>
      <c r="L66" s="44" t="s">
        <v>743</v>
      </c>
      <c r="M66" s="45" t="s">
        <v>744</v>
      </c>
      <c r="N66" s="66" t="s">
        <v>287</v>
      </c>
      <c r="O66" s="67" t="s">
        <v>139</v>
      </c>
    </row>
    <row r="67" spans="1:15">
      <c r="A67" s="74">
        <v>300066</v>
      </c>
      <c r="B67" s="44" t="s">
        <v>745</v>
      </c>
      <c r="C67" s="44" t="s">
        <v>746</v>
      </c>
      <c r="D67" s="44" t="s">
        <v>747</v>
      </c>
      <c r="E67" s="44" t="s">
        <v>748</v>
      </c>
      <c r="F67" s="44" t="s">
        <v>749</v>
      </c>
      <c r="G67" s="44" t="s">
        <v>293</v>
      </c>
      <c r="H67" s="72" t="s">
        <v>294</v>
      </c>
      <c r="I67" s="44">
        <v>37701352</v>
      </c>
      <c r="J67" s="72" t="s">
        <v>283</v>
      </c>
      <c r="K67" s="44" t="s">
        <v>750</v>
      </c>
      <c r="L67" s="44" t="s">
        <v>751</v>
      </c>
      <c r="M67" s="45" t="s">
        <v>322</v>
      </c>
      <c r="N67" s="66" t="s">
        <v>287</v>
      </c>
      <c r="O67" s="67" t="s">
        <v>139</v>
      </c>
    </row>
    <row r="68" spans="1:15">
      <c r="A68" s="74">
        <v>300067</v>
      </c>
      <c r="B68" s="44" t="s">
        <v>364</v>
      </c>
      <c r="C68" s="44" t="s">
        <v>752</v>
      </c>
      <c r="D68" s="44" t="s">
        <v>753</v>
      </c>
      <c r="E68" s="44" t="s">
        <v>754</v>
      </c>
      <c r="F68" s="44" t="s">
        <v>755</v>
      </c>
      <c r="G68" s="44" t="s">
        <v>293</v>
      </c>
      <c r="H68" s="72" t="s">
        <v>294</v>
      </c>
      <c r="I68" s="44">
        <v>37701039</v>
      </c>
      <c r="J68" s="72" t="s">
        <v>283</v>
      </c>
      <c r="K68" s="44" t="s">
        <v>756</v>
      </c>
      <c r="L68" s="44" t="s">
        <v>757</v>
      </c>
      <c r="M68" s="45" t="s">
        <v>322</v>
      </c>
      <c r="N68" s="66" t="s">
        <v>287</v>
      </c>
      <c r="O68" s="67" t="s">
        <v>139</v>
      </c>
    </row>
    <row r="69" spans="1:15">
      <c r="A69" s="74">
        <v>300068</v>
      </c>
      <c r="B69" s="44" t="s">
        <v>758</v>
      </c>
      <c r="C69" s="44" t="s">
        <v>759</v>
      </c>
      <c r="D69" s="44" t="s">
        <v>759</v>
      </c>
      <c r="E69" s="44" t="s">
        <v>760</v>
      </c>
      <c r="F69" s="44" t="s">
        <v>761</v>
      </c>
      <c r="G69" s="44" t="s">
        <v>637</v>
      </c>
      <c r="H69" s="72" t="s">
        <v>638</v>
      </c>
      <c r="I69" s="44">
        <v>81250000</v>
      </c>
      <c r="J69" s="72" t="s">
        <v>283</v>
      </c>
      <c r="K69" s="44" t="s">
        <v>247</v>
      </c>
      <c r="L69" s="44" t="s">
        <v>762</v>
      </c>
      <c r="M69" s="52" t="s">
        <v>763</v>
      </c>
      <c r="N69" s="66" t="s">
        <v>139</v>
      </c>
      <c r="O69" s="67" t="s">
        <v>287</v>
      </c>
    </row>
    <row r="70" spans="1:15">
      <c r="A70" s="74">
        <v>300069</v>
      </c>
      <c r="B70" s="44" t="s">
        <v>435</v>
      </c>
      <c r="C70" s="44" t="s">
        <v>764</v>
      </c>
      <c r="D70" s="44" t="s">
        <v>765</v>
      </c>
      <c r="E70" s="44" t="s">
        <v>766</v>
      </c>
      <c r="F70" s="44" t="s">
        <v>767</v>
      </c>
      <c r="G70" s="44" t="s">
        <v>465</v>
      </c>
      <c r="H70" s="72" t="s">
        <v>294</v>
      </c>
      <c r="I70" s="44">
        <v>37132418</v>
      </c>
      <c r="J70" s="72" t="s">
        <v>283</v>
      </c>
      <c r="K70" s="44" t="s">
        <v>768</v>
      </c>
      <c r="L70" s="44" t="s">
        <v>769</v>
      </c>
      <c r="M70" s="45" t="s">
        <v>322</v>
      </c>
      <c r="N70" s="66" t="s">
        <v>287</v>
      </c>
      <c r="O70" s="67" t="s">
        <v>287</v>
      </c>
    </row>
    <row r="71" spans="1:15">
      <c r="A71" s="74">
        <v>300070</v>
      </c>
      <c r="B71" s="44" t="s">
        <v>364</v>
      </c>
      <c r="C71" s="44" t="s">
        <v>661</v>
      </c>
      <c r="D71" s="44" t="s">
        <v>770</v>
      </c>
      <c r="E71" s="44" t="s">
        <v>771</v>
      </c>
      <c r="F71" s="44" t="s">
        <v>772</v>
      </c>
      <c r="G71" s="44" t="s">
        <v>293</v>
      </c>
      <c r="H71" s="72" t="s">
        <v>294</v>
      </c>
      <c r="I71" s="44">
        <v>37701752</v>
      </c>
      <c r="J71" s="72" t="s">
        <v>283</v>
      </c>
      <c r="K71" s="44" t="s">
        <v>247</v>
      </c>
      <c r="L71" s="44" t="s">
        <v>773</v>
      </c>
      <c r="M71" s="49" t="s">
        <v>774</v>
      </c>
      <c r="N71" s="66" t="s">
        <v>287</v>
      </c>
      <c r="O71" s="67" t="s">
        <v>139</v>
      </c>
    </row>
    <row r="72" spans="1:15">
      <c r="A72" s="74">
        <v>300071</v>
      </c>
      <c r="B72" s="44" t="s">
        <v>339</v>
      </c>
      <c r="C72" s="44" t="s">
        <v>775</v>
      </c>
      <c r="D72" s="44" t="s">
        <v>776</v>
      </c>
      <c r="E72" s="44" t="s">
        <v>777</v>
      </c>
      <c r="F72" s="44" t="s">
        <v>778</v>
      </c>
      <c r="G72" s="44" t="s">
        <v>779</v>
      </c>
      <c r="H72" s="72" t="s">
        <v>294</v>
      </c>
      <c r="I72" s="44" t="s">
        <v>780</v>
      </c>
      <c r="J72" s="72" t="s">
        <v>283</v>
      </c>
      <c r="K72" s="44" t="s">
        <v>781</v>
      </c>
      <c r="L72" s="44" t="s">
        <v>782</v>
      </c>
      <c r="M72" s="53" t="s">
        <v>783</v>
      </c>
      <c r="N72" s="66" t="s">
        <v>287</v>
      </c>
      <c r="O72" s="67" t="s">
        <v>287</v>
      </c>
    </row>
    <row r="73" spans="1:15">
      <c r="A73" s="74">
        <v>300072</v>
      </c>
      <c r="B73" s="44" t="s">
        <v>298</v>
      </c>
      <c r="C73" s="44" t="s">
        <v>784</v>
      </c>
      <c r="D73" s="44" t="s">
        <v>785</v>
      </c>
      <c r="E73" s="44" t="s">
        <v>786</v>
      </c>
      <c r="F73" s="44" t="s">
        <v>787</v>
      </c>
      <c r="G73" s="44" t="s">
        <v>303</v>
      </c>
      <c r="H73" s="72" t="s">
        <v>282</v>
      </c>
      <c r="I73" s="44" t="s">
        <v>788</v>
      </c>
      <c r="J73" s="72" t="s">
        <v>283</v>
      </c>
      <c r="K73" s="44" t="s">
        <v>789</v>
      </c>
      <c r="L73" s="44" t="s">
        <v>790</v>
      </c>
      <c r="M73" s="45" t="s">
        <v>791</v>
      </c>
      <c r="N73" s="66" t="s">
        <v>287</v>
      </c>
      <c r="O73" s="67" t="s">
        <v>287</v>
      </c>
    </row>
    <row r="74" spans="1:15">
      <c r="A74" s="74">
        <v>300073</v>
      </c>
      <c r="B74" s="44" t="s">
        <v>792</v>
      </c>
      <c r="C74" s="44" t="s">
        <v>793</v>
      </c>
      <c r="D74" s="44" t="s">
        <v>794</v>
      </c>
      <c r="E74" s="44" t="s">
        <v>795</v>
      </c>
      <c r="F74" s="44" t="s">
        <v>796</v>
      </c>
      <c r="G74" s="44" t="s">
        <v>293</v>
      </c>
      <c r="H74" s="72" t="s">
        <v>294</v>
      </c>
      <c r="I74" s="44">
        <v>37701880</v>
      </c>
      <c r="J74" s="72" t="s">
        <v>283</v>
      </c>
      <c r="K74" s="44" t="s">
        <v>797</v>
      </c>
      <c r="L74" s="44" t="s">
        <v>798</v>
      </c>
      <c r="M74" s="45" t="s">
        <v>247</v>
      </c>
      <c r="N74" s="66" t="s">
        <v>287</v>
      </c>
      <c r="O74" s="67" t="s">
        <v>139</v>
      </c>
    </row>
    <row r="75" spans="1:15">
      <c r="A75" s="74">
        <v>300074</v>
      </c>
      <c r="B75" s="44" t="s">
        <v>315</v>
      </c>
      <c r="C75" s="44" t="s">
        <v>799</v>
      </c>
      <c r="D75" s="44" t="s">
        <v>800</v>
      </c>
      <c r="E75" s="44" t="s">
        <v>801</v>
      </c>
      <c r="F75" s="44" t="s">
        <v>802</v>
      </c>
      <c r="G75" s="44" t="s">
        <v>293</v>
      </c>
      <c r="H75" s="72" t="s">
        <v>294</v>
      </c>
      <c r="I75" s="44">
        <v>37701022</v>
      </c>
      <c r="J75" s="72" t="s">
        <v>283</v>
      </c>
      <c r="K75" s="44" t="s">
        <v>247</v>
      </c>
      <c r="L75" s="44" t="s">
        <v>247</v>
      </c>
      <c r="M75" s="45" t="s">
        <v>247</v>
      </c>
      <c r="N75" s="66" t="s">
        <v>287</v>
      </c>
      <c r="O75" s="67" t="s">
        <v>139</v>
      </c>
    </row>
    <row r="76" spans="1:15">
      <c r="A76" s="74">
        <v>300075</v>
      </c>
      <c r="B76" s="44" t="s">
        <v>315</v>
      </c>
      <c r="C76" s="44" t="s">
        <v>803</v>
      </c>
      <c r="D76" s="44" t="s">
        <v>804</v>
      </c>
      <c r="E76" s="44" t="s">
        <v>805</v>
      </c>
      <c r="F76" s="44" t="s">
        <v>806</v>
      </c>
      <c r="G76" s="44" t="s">
        <v>293</v>
      </c>
      <c r="H76" s="72" t="s">
        <v>294</v>
      </c>
      <c r="I76" s="44">
        <v>37701030</v>
      </c>
      <c r="J76" s="72" t="s">
        <v>283</v>
      </c>
      <c r="K76" s="44" t="s">
        <v>247</v>
      </c>
      <c r="L76" s="44" t="s">
        <v>807</v>
      </c>
      <c r="M76" s="49"/>
      <c r="N76" s="66" t="s">
        <v>287</v>
      </c>
      <c r="O76" s="67" t="s">
        <v>139</v>
      </c>
    </row>
    <row r="77" spans="1:15">
      <c r="A77" s="74">
        <v>300076</v>
      </c>
      <c r="B77" s="44" t="s">
        <v>315</v>
      </c>
      <c r="C77" s="44" t="s">
        <v>808</v>
      </c>
      <c r="D77" s="44" t="s">
        <v>809</v>
      </c>
      <c r="E77" s="44" t="s">
        <v>810</v>
      </c>
      <c r="F77" s="44" t="s">
        <v>811</v>
      </c>
      <c r="G77" s="44" t="s">
        <v>293</v>
      </c>
      <c r="H77" s="72" t="s">
        <v>294</v>
      </c>
      <c r="I77" s="44">
        <v>37706178</v>
      </c>
      <c r="J77" s="72" t="s">
        <v>283</v>
      </c>
      <c r="K77" s="44" t="s">
        <v>247</v>
      </c>
      <c r="L77" s="44" t="s">
        <v>247</v>
      </c>
      <c r="M77" s="51" t="s">
        <v>247</v>
      </c>
      <c r="N77" s="66" t="s">
        <v>287</v>
      </c>
      <c r="O77" s="67" t="s">
        <v>139</v>
      </c>
    </row>
    <row r="78" spans="1:15">
      <c r="A78" s="74">
        <v>300077</v>
      </c>
      <c r="B78" s="44" t="s">
        <v>364</v>
      </c>
      <c r="C78" s="44" t="s">
        <v>812</v>
      </c>
      <c r="D78" s="44" t="s">
        <v>813</v>
      </c>
      <c r="E78" s="44" t="s">
        <v>814</v>
      </c>
      <c r="F78" s="44" t="s">
        <v>815</v>
      </c>
      <c r="G78" s="44" t="s">
        <v>293</v>
      </c>
      <c r="H78" s="72" t="s">
        <v>294</v>
      </c>
      <c r="I78" s="44">
        <v>37701010</v>
      </c>
      <c r="J78" s="72" t="s">
        <v>283</v>
      </c>
      <c r="K78" s="44" t="s">
        <v>816</v>
      </c>
      <c r="L78" s="44" t="s">
        <v>817</v>
      </c>
      <c r="M78" s="45" t="s">
        <v>818</v>
      </c>
      <c r="N78" s="66" t="s">
        <v>287</v>
      </c>
      <c r="O78" s="67" t="s">
        <v>139</v>
      </c>
    </row>
    <row r="79" spans="1:15">
      <c r="A79" s="74">
        <v>300078</v>
      </c>
      <c r="B79" s="44" t="s">
        <v>276</v>
      </c>
      <c r="C79" s="44" t="s">
        <v>819</v>
      </c>
      <c r="D79" s="44" t="s">
        <v>820</v>
      </c>
      <c r="E79" s="44" t="s">
        <v>821</v>
      </c>
      <c r="F79" s="44" t="s">
        <v>822</v>
      </c>
      <c r="G79" s="44" t="s">
        <v>293</v>
      </c>
      <c r="H79" s="72" t="s">
        <v>294</v>
      </c>
      <c r="I79" s="44">
        <v>37701176</v>
      </c>
      <c r="J79" s="72" t="s">
        <v>283</v>
      </c>
      <c r="K79" s="44" t="s">
        <v>823</v>
      </c>
      <c r="L79" s="44" t="s">
        <v>824</v>
      </c>
      <c r="M79" s="49" t="s">
        <v>825</v>
      </c>
      <c r="N79" s="66" t="s">
        <v>287</v>
      </c>
      <c r="O79" s="67" t="s">
        <v>139</v>
      </c>
    </row>
    <row r="80" spans="1:15">
      <c r="A80" s="74">
        <v>300079</v>
      </c>
      <c r="B80" s="44" t="s">
        <v>364</v>
      </c>
      <c r="C80" s="44" t="s">
        <v>826</v>
      </c>
      <c r="D80" s="44" t="s">
        <v>827</v>
      </c>
      <c r="E80" s="44" t="s">
        <v>828</v>
      </c>
      <c r="F80" s="44" t="s">
        <v>829</v>
      </c>
      <c r="G80" s="44" t="s">
        <v>293</v>
      </c>
      <c r="H80" s="72" t="s">
        <v>294</v>
      </c>
      <c r="I80" s="44">
        <v>37706258</v>
      </c>
      <c r="J80" s="72" t="s">
        <v>283</v>
      </c>
      <c r="K80" s="44" t="s">
        <v>830</v>
      </c>
      <c r="L80" s="44" t="s">
        <v>831</v>
      </c>
      <c r="M80" s="51" t="s">
        <v>247</v>
      </c>
      <c r="N80" s="66" t="s">
        <v>287</v>
      </c>
      <c r="O80" s="67" t="s">
        <v>139</v>
      </c>
    </row>
    <row r="81" spans="1:15">
      <c r="A81" s="74">
        <v>300080</v>
      </c>
      <c r="B81" s="44" t="s">
        <v>276</v>
      </c>
      <c r="C81" s="44" t="s">
        <v>832</v>
      </c>
      <c r="D81" s="44" t="s">
        <v>833</v>
      </c>
      <c r="E81" s="44" t="s">
        <v>834</v>
      </c>
      <c r="F81" s="44" t="s">
        <v>835</v>
      </c>
      <c r="G81" s="44" t="s">
        <v>293</v>
      </c>
      <c r="H81" s="72" t="s">
        <v>294</v>
      </c>
      <c r="I81" s="44">
        <v>37701970</v>
      </c>
      <c r="J81" s="72" t="s">
        <v>283</v>
      </c>
      <c r="K81" s="44" t="s">
        <v>768</v>
      </c>
      <c r="L81" s="44" t="s">
        <v>836</v>
      </c>
      <c r="M81" s="45" t="s">
        <v>247</v>
      </c>
      <c r="N81" s="66" t="s">
        <v>287</v>
      </c>
      <c r="O81" s="67" t="s">
        <v>139</v>
      </c>
    </row>
    <row r="82" spans="1:15">
      <c r="A82" s="74">
        <v>300081</v>
      </c>
      <c r="B82" s="44" t="s">
        <v>837</v>
      </c>
      <c r="C82" s="44" t="s">
        <v>838</v>
      </c>
      <c r="D82" s="44" t="s">
        <v>839</v>
      </c>
      <c r="E82" s="44" t="s">
        <v>840</v>
      </c>
      <c r="F82" s="44" t="s">
        <v>841</v>
      </c>
      <c r="G82" s="44" t="s">
        <v>293</v>
      </c>
      <c r="H82" s="72" t="s">
        <v>294</v>
      </c>
      <c r="I82" s="44">
        <v>37701386</v>
      </c>
      <c r="J82" s="72" t="s">
        <v>283</v>
      </c>
      <c r="K82" s="44" t="s">
        <v>842</v>
      </c>
      <c r="L82" s="44" t="s">
        <v>843</v>
      </c>
      <c r="M82" s="45" t="s">
        <v>247</v>
      </c>
      <c r="N82" s="66" t="s">
        <v>287</v>
      </c>
      <c r="O82" s="67" t="s">
        <v>139</v>
      </c>
    </row>
    <row r="83" spans="1:15">
      <c r="A83" s="74">
        <v>300082</v>
      </c>
      <c r="B83" s="44" t="s">
        <v>732</v>
      </c>
      <c r="C83" s="44" t="s">
        <v>844</v>
      </c>
      <c r="D83" s="44" t="s">
        <v>845</v>
      </c>
      <c r="E83" s="44" t="s">
        <v>846</v>
      </c>
      <c r="F83" s="44" t="s">
        <v>847</v>
      </c>
      <c r="G83" s="44" t="s">
        <v>293</v>
      </c>
      <c r="H83" s="72" t="s">
        <v>294</v>
      </c>
      <c r="I83" s="44">
        <v>37701706</v>
      </c>
      <c r="J83" s="72" t="s">
        <v>283</v>
      </c>
      <c r="K83" s="44" t="s">
        <v>247</v>
      </c>
      <c r="L83" s="44" t="s">
        <v>848</v>
      </c>
      <c r="M83" s="45" t="s">
        <v>247</v>
      </c>
      <c r="N83" s="66" t="s">
        <v>287</v>
      </c>
      <c r="O83" s="67" t="s">
        <v>139</v>
      </c>
    </row>
    <row r="84" spans="1:15">
      <c r="A84" s="74">
        <v>300083</v>
      </c>
      <c r="B84" s="44" t="s">
        <v>364</v>
      </c>
      <c r="C84" s="44" t="s">
        <v>849</v>
      </c>
      <c r="D84" s="44" t="s">
        <v>850</v>
      </c>
      <c r="E84" s="44" t="s">
        <v>247</v>
      </c>
      <c r="F84" s="44" t="s">
        <v>851</v>
      </c>
      <c r="G84" s="44" t="s">
        <v>852</v>
      </c>
      <c r="H84" s="72" t="s">
        <v>853</v>
      </c>
      <c r="I84" s="44" t="s">
        <v>247</v>
      </c>
      <c r="J84" s="72" t="s">
        <v>854</v>
      </c>
      <c r="K84" s="44" t="s">
        <v>247</v>
      </c>
      <c r="L84" s="44" t="s">
        <v>247</v>
      </c>
      <c r="M84" s="45" t="s">
        <v>247</v>
      </c>
      <c r="N84" s="66" t="s">
        <v>139</v>
      </c>
      <c r="O84" s="67" t="s">
        <v>287</v>
      </c>
    </row>
    <row r="85" spans="1:15">
      <c r="A85" s="74">
        <v>300084</v>
      </c>
      <c r="B85" s="44" t="s">
        <v>307</v>
      </c>
      <c r="C85" s="44" t="s">
        <v>855</v>
      </c>
      <c r="D85" s="44" t="s">
        <v>856</v>
      </c>
      <c r="E85" s="44" t="s">
        <v>857</v>
      </c>
      <c r="F85" s="44" t="s">
        <v>858</v>
      </c>
      <c r="G85" s="44" t="s">
        <v>293</v>
      </c>
      <c r="H85" s="72" t="s">
        <v>294</v>
      </c>
      <c r="I85" s="44">
        <v>37701700</v>
      </c>
      <c r="J85" s="72" t="s">
        <v>283</v>
      </c>
      <c r="K85" s="44" t="s">
        <v>247</v>
      </c>
      <c r="L85" s="44" t="s">
        <v>859</v>
      </c>
      <c r="M85" s="45" t="s">
        <v>247</v>
      </c>
      <c r="N85" s="66" t="s">
        <v>287</v>
      </c>
      <c r="O85" s="67" t="s">
        <v>139</v>
      </c>
    </row>
    <row r="86" spans="1:15">
      <c r="A86" s="74">
        <v>300093</v>
      </c>
      <c r="B86" s="44" t="s">
        <v>435</v>
      </c>
      <c r="C86" s="44" t="s">
        <v>860</v>
      </c>
      <c r="D86" s="44" t="s">
        <v>860</v>
      </c>
      <c r="E86" s="44" t="s">
        <v>861</v>
      </c>
      <c r="F86" s="44" t="s">
        <v>247</v>
      </c>
      <c r="G86" s="44" t="s">
        <v>293</v>
      </c>
      <c r="H86" s="72" t="s">
        <v>294</v>
      </c>
      <c r="I86" s="44" t="s">
        <v>247</v>
      </c>
      <c r="J86" s="72" t="s">
        <v>283</v>
      </c>
      <c r="K86" s="44" t="s">
        <v>862</v>
      </c>
      <c r="L86" s="44" t="s">
        <v>863</v>
      </c>
      <c r="M86" s="45" t="s">
        <v>247</v>
      </c>
      <c r="N86" s="66" t="s">
        <v>287</v>
      </c>
      <c r="O86" s="67" t="s">
        <v>139</v>
      </c>
    </row>
    <row r="87" spans="1:15">
      <c r="A87" s="74">
        <v>300095</v>
      </c>
      <c r="B87" s="44" t="s">
        <v>276</v>
      </c>
      <c r="C87" s="44" t="s">
        <v>864</v>
      </c>
      <c r="D87" s="44" t="s">
        <v>864</v>
      </c>
      <c r="E87" s="44" t="s">
        <v>865</v>
      </c>
      <c r="F87" s="44" t="s">
        <v>866</v>
      </c>
      <c r="G87" s="44" t="s">
        <v>867</v>
      </c>
      <c r="H87" s="72" t="s">
        <v>638</v>
      </c>
      <c r="I87" s="44" t="s">
        <v>868</v>
      </c>
      <c r="J87" s="72" t="s">
        <v>283</v>
      </c>
      <c r="K87" s="44" t="s">
        <v>247</v>
      </c>
      <c r="L87" s="44" t="s">
        <v>869</v>
      </c>
      <c r="M87" s="45" t="s">
        <v>247</v>
      </c>
      <c r="N87" s="66" t="s">
        <v>139</v>
      </c>
      <c r="O87" s="67" t="s">
        <v>287</v>
      </c>
    </row>
    <row r="88" spans="1:15">
      <c r="A88" s="74">
        <v>300096</v>
      </c>
      <c r="B88" s="44" t="s">
        <v>276</v>
      </c>
      <c r="C88" s="44" t="s">
        <v>870</v>
      </c>
      <c r="D88" s="44" t="s">
        <v>871</v>
      </c>
      <c r="E88" s="44" t="s">
        <v>872</v>
      </c>
      <c r="F88" s="44" t="s">
        <v>873</v>
      </c>
      <c r="G88" s="44" t="s">
        <v>293</v>
      </c>
      <c r="H88" s="72" t="s">
        <v>294</v>
      </c>
      <c r="I88" s="44" t="s">
        <v>874</v>
      </c>
      <c r="J88" s="72" t="s">
        <v>283</v>
      </c>
      <c r="K88" s="44" t="s">
        <v>247</v>
      </c>
      <c r="L88" s="44" t="s">
        <v>875</v>
      </c>
      <c r="M88" s="45" t="s">
        <v>247</v>
      </c>
      <c r="N88" s="66" t="s">
        <v>139</v>
      </c>
      <c r="O88" s="67" t="s">
        <v>139</v>
      </c>
    </row>
    <row r="89" spans="1:15">
      <c r="A89" s="74">
        <v>300097</v>
      </c>
      <c r="B89" s="44" t="s">
        <v>315</v>
      </c>
      <c r="C89" s="44" t="s">
        <v>615</v>
      </c>
      <c r="D89" s="44" t="s">
        <v>616</v>
      </c>
      <c r="E89" s="44" t="s">
        <v>876</v>
      </c>
      <c r="F89" s="44" t="s">
        <v>877</v>
      </c>
      <c r="G89" s="44" t="s">
        <v>293</v>
      </c>
      <c r="H89" s="72" t="s">
        <v>294</v>
      </c>
      <c r="I89" s="44" t="s">
        <v>247</v>
      </c>
      <c r="J89" s="72" t="s">
        <v>283</v>
      </c>
      <c r="K89" s="44" t="s">
        <v>247</v>
      </c>
      <c r="L89" s="44" t="s">
        <v>619</v>
      </c>
      <c r="M89" s="45" t="s">
        <v>247</v>
      </c>
      <c r="N89" s="66" t="s">
        <v>287</v>
      </c>
      <c r="O89" s="67" t="s">
        <v>139</v>
      </c>
    </row>
    <row r="90" spans="1:15">
      <c r="A90" s="74">
        <v>300098</v>
      </c>
      <c r="B90" s="44" t="s">
        <v>315</v>
      </c>
      <c r="C90" s="44" t="s">
        <v>878</v>
      </c>
      <c r="D90" s="44" t="s">
        <v>879</v>
      </c>
      <c r="E90" s="44" t="s">
        <v>880</v>
      </c>
      <c r="F90" s="44" t="s">
        <v>881</v>
      </c>
      <c r="G90" s="44" t="s">
        <v>293</v>
      </c>
      <c r="H90" s="72" t="s">
        <v>294</v>
      </c>
      <c r="I90" s="44" t="s">
        <v>882</v>
      </c>
      <c r="J90" s="72" t="s">
        <v>283</v>
      </c>
      <c r="K90" s="44" t="s">
        <v>883</v>
      </c>
      <c r="L90" s="44" t="s">
        <v>884</v>
      </c>
      <c r="M90" s="45" t="s">
        <v>247</v>
      </c>
      <c r="N90" s="66" t="s">
        <v>287</v>
      </c>
      <c r="O90" s="67" t="s">
        <v>139</v>
      </c>
    </row>
    <row r="91" spans="1:15">
      <c r="A91" s="74">
        <v>300099</v>
      </c>
      <c r="B91" s="44" t="s">
        <v>315</v>
      </c>
      <c r="C91" s="44" t="s">
        <v>885</v>
      </c>
      <c r="D91" s="44" t="s">
        <v>886</v>
      </c>
      <c r="E91" s="44" t="s">
        <v>887</v>
      </c>
      <c r="F91" s="44" t="s">
        <v>888</v>
      </c>
      <c r="G91" s="44" t="s">
        <v>293</v>
      </c>
      <c r="H91" s="72" t="s">
        <v>294</v>
      </c>
      <c r="I91" s="44" t="s">
        <v>889</v>
      </c>
      <c r="J91" s="72" t="s">
        <v>283</v>
      </c>
      <c r="K91" s="44" t="s">
        <v>247</v>
      </c>
      <c r="L91" s="44" t="s">
        <v>890</v>
      </c>
      <c r="M91" s="45" t="s">
        <v>247</v>
      </c>
      <c r="N91" s="66" t="s">
        <v>287</v>
      </c>
      <c r="O91" s="67" t="s">
        <v>139</v>
      </c>
    </row>
    <row r="92" spans="1:15">
      <c r="A92" s="74">
        <v>300100</v>
      </c>
      <c r="B92" s="44" t="s">
        <v>307</v>
      </c>
      <c r="C92" s="44" t="s">
        <v>891</v>
      </c>
      <c r="D92" s="44" t="s">
        <v>891</v>
      </c>
      <c r="E92" s="44" t="s">
        <v>892</v>
      </c>
      <c r="F92" s="44" t="s">
        <v>893</v>
      </c>
      <c r="G92" s="44" t="s">
        <v>701</v>
      </c>
      <c r="H92" s="72" t="s">
        <v>702</v>
      </c>
      <c r="I92" s="44">
        <v>28083510</v>
      </c>
      <c r="J92" s="72" t="s">
        <v>283</v>
      </c>
      <c r="K92" s="44" t="s">
        <v>247</v>
      </c>
      <c r="L92" s="44" t="s">
        <v>894</v>
      </c>
      <c r="M92" s="45" t="s">
        <v>247</v>
      </c>
      <c r="N92" s="66" t="s">
        <v>139</v>
      </c>
      <c r="O92" s="67" t="s">
        <v>287</v>
      </c>
    </row>
    <row r="93" spans="1:15">
      <c r="A93" s="74">
        <v>300101</v>
      </c>
      <c r="B93" s="44" t="s">
        <v>307</v>
      </c>
      <c r="C93" s="44" t="s">
        <v>895</v>
      </c>
      <c r="D93" s="44" t="s">
        <v>895</v>
      </c>
      <c r="E93" s="44" t="s">
        <v>896</v>
      </c>
      <c r="F93" s="44" t="s">
        <v>897</v>
      </c>
      <c r="G93" s="44" t="s">
        <v>293</v>
      </c>
      <c r="H93" s="72" t="s">
        <v>294</v>
      </c>
      <c r="I93" s="44">
        <v>37701016</v>
      </c>
      <c r="J93" s="72" t="s">
        <v>283</v>
      </c>
      <c r="K93" s="44" t="s">
        <v>247</v>
      </c>
      <c r="L93" s="44" t="s">
        <v>898</v>
      </c>
      <c r="M93" s="45" t="s">
        <v>247</v>
      </c>
      <c r="N93" s="66" t="s">
        <v>287</v>
      </c>
      <c r="O93" s="67" t="s">
        <v>139</v>
      </c>
    </row>
    <row r="94" spans="1:15">
      <c r="A94" s="74">
        <v>300103</v>
      </c>
      <c r="B94" s="44" t="s">
        <v>899</v>
      </c>
      <c r="C94" s="44" t="s">
        <v>900</v>
      </c>
      <c r="D94" s="44" t="s">
        <v>901</v>
      </c>
      <c r="E94" s="44" t="s">
        <v>902</v>
      </c>
      <c r="F94" s="44" t="s">
        <v>903</v>
      </c>
      <c r="G94" s="44" t="s">
        <v>293</v>
      </c>
      <c r="H94" s="72" t="s">
        <v>294</v>
      </c>
      <c r="I94" s="44" t="s">
        <v>904</v>
      </c>
      <c r="J94" s="72" t="s">
        <v>283</v>
      </c>
      <c r="K94" s="44" t="s">
        <v>905</v>
      </c>
      <c r="L94" s="44" t="s">
        <v>906</v>
      </c>
      <c r="M94" s="45" t="s">
        <v>907</v>
      </c>
      <c r="N94" s="66" t="s">
        <v>287</v>
      </c>
      <c r="O94" s="67" t="s">
        <v>139</v>
      </c>
    </row>
    <row r="95" spans="1:15">
      <c r="A95" s="74">
        <v>300104</v>
      </c>
      <c r="B95" s="44" t="s">
        <v>276</v>
      </c>
      <c r="C95" s="44" t="s">
        <v>908</v>
      </c>
      <c r="D95" s="44" t="s">
        <v>908</v>
      </c>
      <c r="E95" s="44" t="s">
        <v>909</v>
      </c>
      <c r="F95" s="44" t="s">
        <v>910</v>
      </c>
      <c r="G95" s="44" t="s">
        <v>911</v>
      </c>
      <c r="H95" s="72" t="s">
        <v>282</v>
      </c>
      <c r="I95" s="44">
        <v>19780005</v>
      </c>
      <c r="J95" s="72" t="s">
        <v>283</v>
      </c>
      <c r="K95" s="44" t="s">
        <v>247</v>
      </c>
      <c r="L95" s="44" t="s">
        <v>912</v>
      </c>
      <c r="M95" s="45" t="s">
        <v>247</v>
      </c>
      <c r="N95" s="66" t="s">
        <v>139</v>
      </c>
      <c r="O95" s="67" t="s">
        <v>287</v>
      </c>
    </row>
    <row r="96" spans="1:15">
      <c r="A96" s="74">
        <v>300106</v>
      </c>
      <c r="B96" s="44" t="s">
        <v>556</v>
      </c>
      <c r="C96" s="44" t="s">
        <v>913</v>
      </c>
      <c r="D96" s="44" t="s">
        <v>913</v>
      </c>
      <c r="E96" s="44" t="s">
        <v>914</v>
      </c>
      <c r="F96" s="44" t="s">
        <v>915</v>
      </c>
      <c r="G96" s="44" t="s">
        <v>916</v>
      </c>
      <c r="H96" s="72" t="s">
        <v>917</v>
      </c>
      <c r="I96" s="44">
        <v>29161414</v>
      </c>
      <c r="J96" s="72" t="s">
        <v>283</v>
      </c>
      <c r="K96" s="44" t="s">
        <v>247</v>
      </c>
      <c r="L96" s="44" t="s">
        <v>918</v>
      </c>
      <c r="M96" s="45" t="s">
        <v>247</v>
      </c>
      <c r="N96" s="66" t="s">
        <v>139</v>
      </c>
      <c r="O96" s="67" t="s">
        <v>287</v>
      </c>
    </row>
    <row r="97" spans="1:15">
      <c r="A97" s="74">
        <v>300107</v>
      </c>
      <c r="B97" s="44" t="s">
        <v>556</v>
      </c>
      <c r="C97" s="44" t="s">
        <v>919</v>
      </c>
      <c r="D97" s="44" t="s">
        <v>919</v>
      </c>
      <c r="E97" s="44" t="s">
        <v>920</v>
      </c>
      <c r="F97" s="44" t="s">
        <v>921</v>
      </c>
      <c r="G97" s="44" t="s">
        <v>293</v>
      </c>
      <c r="H97" s="72" t="s">
        <v>294</v>
      </c>
      <c r="I97" s="44" t="s">
        <v>922</v>
      </c>
      <c r="J97" s="72" t="s">
        <v>283</v>
      </c>
      <c r="K97" s="44" t="s">
        <v>923</v>
      </c>
      <c r="L97" s="44" t="s">
        <v>924</v>
      </c>
      <c r="M97" s="54" t="s">
        <v>925</v>
      </c>
      <c r="N97" s="66" t="s">
        <v>287</v>
      </c>
      <c r="O97" s="67" t="s">
        <v>139</v>
      </c>
    </row>
    <row r="98" spans="1:15">
      <c r="A98" s="74">
        <v>300108</v>
      </c>
      <c r="B98" s="44" t="s">
        <v>926</v>
      </c>
      <c r="C98" s="44" t="s">
        <v>927</v>
      </c>
      <c r="D98" s="44" t="s">
        <v>927</v>
      </c>
      <c r="E98" s="44" t="s">
        <v>928</v>
      </c>
      <c r="F98" s="44" t="s">
        <v>929</v>
      </c>
      <c r="G98" s="44" t="s">
        <v>293</v>
      </c>
      <c r="H98" s="72" t="s">
        <v>294</v>
      </c>
      <c r="I98" s="44">
        <v>37701024</v>
      </c>
      <c r="J98" s="72" t="s">
        <v>283</v>
      </c>
      <c r="K98" s="44" t="s">
        <v>930</v>
      </c>
      <c r="L98" s="44" t="s">
        <v>931</v>
      </c>
      <c r="M98" s="54" t="s">
        <v>932</v>
      </c>
      <c r="N98" s="66" t="s">
        <v>139</v>
      </c>
      <c r="O98" s="67" t="s">
        <v>139</v>
      </c>
    </row>
    <row r="99" spans="1:15">
      <c r="A99" s="74">
        <v>300109</v>
      </c>
      <c r="B99" s="44" t="s">
        <v>926</v>
      </c>
      <c r="C99" s="44" t="s">
        <v>927</v>
      </c>
      <c r="D99" s="44" t="s">
        <v>927</v>
      </c>
      <c r="E99" s="44" t="s">
        <v>928</v>
      </c>
      <c r="F99" s="44" t="s">
        <v>929</v>
      </c>
      <c r="G99" s="44" t="s">
        <v>293</v>
      </c>
      <c r="H99" s="72" t="s">
        <v>294</v>
      </c>
      <c r="I99" s="44">
        <v>37701024</v>
      </c>
      <c r="J99" s="72" t="s">
        <v>283</v>
      </c>
      <c r="K99" s="44" t="s">
        <v>930</v>
      </c>
      <c r="L99" s="44" t="s">
        <v>931</v>
      </c>
      <c r="M99" s="54" t="s">
        <v>932</v>
      </c>
      <c r="N99" s="66" t="s">
        <v>287</v>
      </c>
      <c r="O99" s="67" t="s">
        <v>139</v>
      </c>
    </row>
    <row r="100" spans="1:15">
      <c r="A100" s="74">
        <v>300110</v>
      </c>
      <c r="B100" s="44" t="s">
        <v>339</v>
      </c>
      <c r="C100" s="44" t="s">
        <v>933</v>
      </c>
      <c r="D100" s="44" t="s">
        <v>933</v>
      </c>
      <c r="E100" s="44" t="s">
        <v>934</v>
      </c>
      <c r="F100" s="44" t="s">
        <v>935</v>
      </c>
      <c r="G100" s="44" t="s">
        <v>936</v>
      </c>
      <c r="H100" s="72" t="s">
        <v>937</v>
      </c>
      <c r="I100" s="44" t="s">
        <v>938</v>
      </c>
      <c r="J100" s="72" t="s">
        <v>283</v>
      </c>
      <c r="K100" s="44" t="s">
        <v>247</v>
      </c>
      <c r="L100" s="44" t="s">
        <v>247</v>
      </c>
      <c r="M100" s="45" t="s">
        <v>247</v>
      </c>
      <c r="N100" s="66" t="s">
        <v>287</v>
      </c>
      <c r="O100" s="67" t="s">
        <v>287</v>
      </c>
    </row>
    <row r="101" spans="1:15">
      <c r="A101" s="74">
        <v>300111</v>
      </c>
      <c r="B101" s="44" t="s">
        <v>364</v>
      </c>
      <c r="C101" s="44" t="s">
        <v>939</v>
      </c>
      <c r="D101" s="44" t="s">
        <v>939</v>
      </c>
      <c r="E101" s="44" t="s">
        <v>940</v>
      </c>
      <c r="F101" s="44" t="s">
        <v>941</v>
      </c>
      <c r="G101" s="44" t="s">
        <v>303</v>
      </c>
      <c r="H101" s="72" t="s">
        <v>282</v>
      </c>
      <c r="I101" s="44" t="s">
        <v>942</v>
      </c>
      <c r="J101" s="72" t="s">
        <v>283</v>
      </c>
      <c r="K101" s="44" t="s">
        <v>943</v>
      </c>
      <c r="L101" s="44" t="s">
        <v>944</v>
      </c>
      <c r="M101" s="45" t="s">
        <v>247</v>
      </c>
      <c r="N101" s="66" t="s">
        <v>287</v>
      </c>
      <c r="O101" s="67" t="s">
        <v>287</v>
      </c>
    </row>
    <row r="102" spans="1:15">
      <c r="A102" s="74">
        <v>300112</v>
      </c>
      <c r="B102" s="44" t="s">
        <v>380</v>
      </c>
      <c r="C102" s="44" t="s">
        <v>945</v>
      </c>
      <c r="D102" s="44" t="s">
        <v>945</v>
      </c>
      <c r="E102" s="44" t="s">
        <v>247</v>
      </c>
      <c r="F102" s="44" t="s">
        <v>946</v>
      </c>
      <c r="G102" s="44" t="s">
        <v>293</v>
      </c>
      <c r="H102" s="72" t="s">
        <v>294</v>
      </c>
      <c r="I102" s="44" t="s">
        <v>247</v>
      </c>
      <c r="J102" s="72" t="s">
        <v>283</v>
      </c>
      <c r="K102" s="44" t="s">
        <v>947</v>
      </c>
      <c r="L102" s="44" t="s">
        <v>948</v>
      </c>
      <c r="M102" s="45" t="s">
        <v>247</v>
      </c>
      <c r="N102" s="66" t="s">
        <v>139</v>
      </c>
      <c r="O102" s="67" t="s">
        <v>139</v>
      </c>
    </row>
    <row r="103" spans="1:15">
      <c r="A103" s="74">
        <v>300113</v>
      </c>
      <c r="B103" s="44" t="s">
        <v>339</v>
      </c>
      <c r="C103" s="44" t="s">
        <v>949</v>
      </c>
      <c r="D103" s="44" t="s">
        <v>949</v>
      </c>
      <c r="E103" s="44" t="s">
        <v>950</v>
      </c>
      <c r="F103" s="44" t="s">
        <v>951</v>
      </c>
      <c r="G103" s="44" t="s">
        <v>952</v>
      </c>
      <c r="H103" s="72" t="s">
        <v>953</v>
      </c>
      <c r="I103" s="44">
        <v>74820060</v>
      </c>
      <c r="J103" s="72" t="s">
        <v>283</v>
      </c>
      <c r="K103" s="44" t="s">
        <v>247</v>
      </c>
      <c r="L103" s="44" t="s">
        <v>247</v>
      </c>
      <c r="M103" s="45" t="s">
        <v>247</v>
      </c>
      <c r="N103" s="66" t="s">
        <v>287</v>
      </c>
      <c r="O103" s="67" t="s">
        <v>287</v>
      </c>
    </row>
    <row r="104" spans="1:15">
      <c r="A104" s="74">
        <v>300114</v>
      </c>
      <c r="B104" s="44" t="s">
        <v>339</v>
      </c>
      <c r="C104" s="44" t="s">
        <v>954</v>
      </c>
      <c r="D104" s="44" t="s">
        <v>955</v>
      </c>
      <c r="E104" s="44" t="s">
        <v>956</v>
      </c>
      <c r="F104" s="44" t="s">
        <v>957</v>
      </c>
      <c r="G104" s="44" t="s">
        <v>293</v>
      </c>
      <c r="H104" s="72" t="s">
        <v>294</v>
      </c>
      <c r="I104" s="44">
        <v>37701012</v>
      </c>
      <c r="J104" s="72" t="s">
        <v>283</v>
      </c>
      <c r="K104" s="44" t="s">
        <v>958</v>
      </c>
      <c r="L104" s="44" t="s">
        <v>959</v>
      </c>
      <c r="M104" s="49"/>
      <c r="N104" s="66" t="s">
        <v>287</v>
      </c>
      <c r="O104" s="67" t="s">
        <v>139</v>
      </c>
    </row>
    <row r="105" spans="1:15">
      <c r="A105" s="74">
        <v>300115</v>
      </c>
      <c r="B105" s="44" t="s">
        <v>276</v>
      </c>
      <c r="C105" s="44" t="s">
        <v>960</v>
      </c>
      <c r="D105" s="44" t="s">
        <v>705</v>
      </c>
      <c r="E105" s="44" t="s">
        <v>961</v>
      </c>
      <c r="F105" s="44" t="s">
        <v>962</v>
      </c>
      <c r="G105" s="44" t="s">
        <v>293</v>
      </c>
      <c r="H105" s="72" t="s">
        <v>294</v>
      </c>
      <c r="I105" s="44">
        <v>37701000</v>
      </c>
      <c r="J105" s="72" t="s">
        <v>283</v>
      </c>
      <c r="K105" s="44" t="s">
        <v>247</v>
      </c>
      <c r="L105" s="44" t="s">
        <v>963</v>
      </c>
      <c r="M105" s="51" t="s">
        <v>247</v>
      </c>
      <c r="N105" s="66" t="s">
        <v>287</v>
      </c>
      <c r="O105" s="67" t="s">
        <v>139</v>
      </c>
    </row>
    <row r="106" spans="1:15">
      <c r="A106" s="74">
        <v>300116</v>
      </c>
      <c r="B106" s="44" t="s">
        <v>364</v>
      </c>
      <c r="C106" s="44" t="s">
        <v>964</v>
      </c>
      <c r="D106" s="44" t="s">
        <v>964</v>
      </c>
      <c r="E106" s="44" t="s">
        <v>965</v>
      </c>
      <c r="F106" s="44" t="s">
        <v>966</v>
      </c>
      <c r="G106" s="44" t="s">
        <v>293</v>
      </c>
      <c r="H106" s="72" t="s">
        <v>294</v>
      </c>
      <c r="I106" s="44" t="s">
        <v>967</v>
      </c>
      <c r="J106" s="72" t="s">
        <v>283</v>
      </c>
      <c r="K106" s="44" t="s">
        <v>958</v>
      </c>
      <c r="L106" s="44" t="s">
        <v>968</v>
      </c>
      <c r="M106" s="45" t="s">
        <v>247</v>
      </c>
      <c r="N106" s="66" t="s">
        <v>287</v>
      </c>
      <c r="O106" s="67" t="s">
        <v>139</v>
      </c>
    </row>
    <row r="107" spans="1:15">
      <c r="A107" s="74">
        <v>300117</v>
      </c>
      <c r="B107" s="44" t="s">
        <v>276</v>
      </c>
      <c r="C107" s="44" t="s">
        <v>969</v>
      </c>
      <c r="D107" s="44" t="s">
        <v>969</v>
      </c>
      <c r="E107" s="44" t="s">
        <v>970</v>
      </c>
      <c r="F107" s="44" t="s">
        <v>971</v>
      </c>
      <c r="G107" s="44" t="s">
        <v>972</v>
      </c>
      <c r="H107" s="72" t="s">
        <v>294</v>
      </c>
      <c r="I107" s="44" t="s">
        <v>973</v>
      </c>
      <c r="J107" s="72" t="s">
        <v>283</v>
      </c>
      <c r="K107" s="44" t="s">
        <v>974</v>
      </c>
      <c r="L107" s="44" t="s">
        <v>975</v>
      </c>
      <c r="M107" s="45" t="s">
        <v>976</v>
      </c>
      <c r="N107" s="66" t="s">
        <v>287</v>
      </c>
      <c r="O107" s="67" t="s">
        <v>287</v>
      </c>
    </row>
    <row r="108" spans="1:15">
      <c r="A108" s="74">
        <v>300118</v>
      </c>
      <c r="B108" s="44" t="s">
        <v>339</v>
      </c>
      <c r="C108" s="44" t="s">
        <v>977</v>
      </c>
      <c r="D108" s="44" t="s">
        <v>977</v>
      </c>
      <c r="E108" s="44" t="s">
        <v>978</v>
      </c>
      <c r="F108" s="44" t="s">
        <v>979</v>
      </c>
      <c r="G108" s="44" t="s">
        <v>980</v>
      </c>
      <c r="H108" s="72" t="s">
        <v>294</v>
      </c>
      <c r="I108" s="44" t="s">
        <v>981</v>
      </c>
      <c r="J108" s="72" t="s">
        <v>283</v>
      </c>
      <c r="K108" s="44" t="s">
        <v>247</v>
      </c>
      <c r="L108" s="44" t="s">
        <v>982</v>
      </c>
      <c r="M108" s="45" t="s">
        <v>247</v>
      </c>
      <c r="N108" s="66" t="s">
        <v>287</v>
      </c>
      <c r="O108" s="67" t="s">
        <v>287</v>
      </c>
    </row>
    <row r="109" spans="1:15">
      <c r="A109" s="74">
        <v>300119</v>
      </c>
      <c r="B109" s="44" t="s">
        <v>276</v>
      </c>
      <c r="C109" s="44" t="s">
        <v>983</v>
      </c>
      <c r="D109" s="44" t="s">
        <v>983</v>
      </c>
      <c r="E109" s="44" t="s">
        <v>984</v>
      </c>
      <c r="F109" s="44" t="s">
        <v>985</v>
      </c>
      <c r="G109" s="44" t="s">
        <v>986</v>
      </c>
      <c r="H109" s="72" t="s">
        <v>282</v>
      </c>
      <c r="I109" s="44" t="s">
        <v>987</v>
      </c>
      <c r="J109" s="72" t="s">
        <v>283</v>
      </c>
      <c r="K109" s="44" t="s">
        <v>247</v>
      </c>
      <c r="L109" s="44" t="s">
        <v>988</v>
      </c>
      <c r="M109" s="45" t="s">
        <v>247</v>
      </c>
      <c r="N109" s="66" t="s">
        <v>139</v>
      </c>
      <c r="O109" s="67" t="s">
        <v>287</v>
      </c>
    </row>
    <row r="110" spans="1:15">
      <c r="A110" s="74">
        <v>300120</v>
      </c>
      <c r="B110" s="44" t="s">
        <v>652</v>
      </c>
      <c r="C110" s="44" t="s">
        <v>989</v>
      </c>
      <c r="D110" s="44" t="s">
        <v>989</v>
      </c>
      <c r="E110" s="44" t="s">
        <v>990</v>
      </c>
      <c r="F110" s="44" t="s">
        <v>991</v>
      </c>
      <c r="G110" s="44" t="s">
        <v>293</v>
      </c>
      <c r="H110" s="72" t="s">
        <v>294</v>
      </c>
      <c r="I110" s="44" t="s">
        <v>992</v>
      </c>
      <c r="J110" s="72" t="s">
        <v>283</v>
      </c>
      <c r="K110" s="44" t="s">
        <v>993</v>
      </c>
      <c r="L110" s="44" t="s">
        <v>994</v>
      </c>
      <c r="M110" s="45" t="s">
        <v>247</v>
      </c>
      <c r="N110" s="66" t="s">
        <v>287</v>
      </c>
      <c r="O110" s="67" t="s">
        <v>139</v>
      </c>
    </row>
    <row r="111" spans="1:15">
      <c r="A111" s="74">
        <v>300121</v>
      </c>
      <c r="B111" s="44" t="s">
        <v>276</v>
      </c>
      <c r="C111" s="44" t="s">
        <v>995</v>
      </c>
      <c r="D111" s="44" t="s">
        <v>995</v>
      </c>
      <c r="E111" s="44" t="s">
        <v>996</v>
      </c>
      <c r="F111" s="44" t="s">
        <v>997</v>
      </c>
      <c r="G111" s="44" t="s">
        <v>998</v>
      </c>
      <c r="H111" s="72" t="s">
        <v>282</v>
      </c>
      <c r="I111" s="44">
        <v>13455745</v>
      </c>
      <c r="J111" s="72" t="s">
        <v>283</v>
      </c>
      <c r="K111" s="44" t="s">
        <v>247</v>
      </c>
      <c r="L111" s="44" t="s">
        <v>999</v>
      </c>
      <c r="M111" s="45" t="s">
        <v>247</v>
      </c>
      <c r="N111" s="66" t="s">
        <v>139</v>
      </c>
      <c r="O111" s="67" t="s">
        <v>287</v>
      </c>
    </row>
    <row r="112" spans="1:15">
      <c r="A112" s="74">
        <v>300122</v>
      </c>
      <c r="B112" s="44" t="s">
        <v>364</v>
      </c>
      <c r="C112" s="44" t="s">
        <v>1000</v>
      </c>
      <c r="D112" s="44" t="s">
        <v>1000</v>
      </c>
      <c r="E112" s="44" t="s">
        <v>1001</v>
      </c>
      <c r="F112" s="44" t="s">
        <v>1002</v>
      </c>
      <c r="G112" s="44" t="s">
        <v>293</v>
      </c>
      <c r="H112" s="72" t="s">
        <v>294</v>
      </c>
      <c r="I112" s="44" t="s">
        <v>1003</v>
      </c>
      <c r="J112" s="72" t="s">
        <v>283</v>
      </c>
      <c r="K112" s="44" t="s">
        <v>1004</v>
      </c>
      <c r="L112" s="44" t="s">
        <v>1005</v>
      </c>
      <c r="M112" s="45" t="s">
        <v>247</v>
      </c>
      <c r="N112" s="66" t="s">
        <v>287</v>
      </c>
      <c r="O112" s="67" t="s">
        <v>139</v>
      </c>
    </row>
    <row r="113" spans="1:15">
      <c r="A113" s="74">
        <v>300123</v>
      </c>
      <c r="B113" s="44" t="s">
        <v>556</v>
      </c>
      <c r="C113" s="44" t="s">
        <v>1006</v>
      </c>
      <c r="D113" s="44" t="s">
        <v>1006</v>
      </c>
      <c r="E113" s="44" t="s">
        <v>1007</v>
      </c>
      <c r="F113" s="44" t="s">
        <v>1008</v>
      </c>
      <c r="G113" s="44" t="s">
        <v>293</v>
      </c>
      <c r="H113" s="72" t="s">
        <v>294</v>
      </c>
      <c r="I113" s="44" t="s">
        <v>1009</v>
      </c>
      <c r="J113" s="72" t="s">
        <v>283</v>
      </c>
      <c r="K113" s="44" t="s">
        <v>247</v>
      </c>
      <c r="L113" s="44" t="s">
        <v>1010</v>
      </c>
      <c r="M113" s="45" t="s">
        <v>247</v>
      </c>
      <c r="N113" s="66" t="s">
        <v>287</v>
      </c>
      <c r="O113" s="67" t="s">
        <v>139</v>
      </c>
    </row>
    <row r="114" spans="1:15">
      <c r="A114" s="74">
        <v>300124</v>
      </c>
      <c r="B114" s="44" t="s">
        <v>652</v>
      </c>
      <c r="C114" s="44" t="s">
        <v>1011</v>
      </c>
      <c r="D114" s="44" t="s">
        <v>1011</v>
      </c>
      <c r="E114" s="44" t="s">
        <v>1012</v>
      </c>
      <c r="F114" s="44" t="s">
        <v>1013</v>
      </c>
      <c r="G114" s="44" t="s">
        <v>293</v>
      </c>
      <c r="H114" s="72" t="s">
        <v>294</v>
      </c>
      <c r="I114" s="44" t="s">
        <v>1014</v>
      </c>
      <c r="J114" s="72" t="s">
        <v>283</v>
      </c>
      <c r="K114" s="44" t="s">
        <v>247</v>
      </c>
      <c r="L114" s="44" t="s">
        <v>1015</v>
      </c>
      <c r="M114" s="45" t="s">
        <v>247</v>
      </c>
      <c r="N114" s="66" t="s">
        <v>287</v>
      </c>
      <c r="O114" s="67" t="s">
        <v>139</v>
      </c>
    </row>
    <row r="115" spans="1:15">
      <c r="A115" s="74">
        <v>300125</v>
      </c>
      <c r="B115" s="44" t="s">
        <v>315</v>
      </c>
      <c r="C115" s="44" t="s">
        <v>1016</v>
      </c>
      <c r="D115" s="44" t="s">
        <v>1016</v>
      </c>
      <c r="E115" s="44" t="s">
        <v>1017</v>
      </c>
      <c r="F115" s="44" t="s">
        <v>1018</v>
      </c>
      <c r="G115" s="44" t="s">
        <v>1019</v>
      </c>
      <c r="H115" s="72" t="s">
        <v>282</v>
      </c>
      <c r="I115" s="44" t="s">
        <v>1020</v>
      </c>
      <c r="J115" s="72" t="s">
        <v>283</v>
      </c>
      <c r="K115" s="44" t="s">
        <v>247</v>
      </c>
      <c r="L115" s="44" t="s">
        <v>247</v>
      </c>
      <c r="M115" s="45" t="s">
        <v>247</v>
      </c>
      <c r="N115" s="66" t="s">
        <v>139</v>
      </c>
      <c r="O115" s="67" t="s">
        <v>287</v>
      </c>
    </row>
    <row r="116" spans="1:15">
      <c r="A116" s="74">
        <v>300126</v>
      </c>
      <c r="B116" s="44" t="s">
        <v>276</v>
      </c>
      <c r="C116" s="44" t="s">
        <v>1021</v>
      </c>
      <c r="D116" s="44" t="s">
        <v>1021</v>
      </c>
      <c r="E116" s="44" t="s">
        <v>1022</v>
      </c>
      <c r="F116" s="44" t="s">
        <v>1023</v>
      </c>
      <c r="G116" s="44" t="s">
        <v>1024</v>
      </c>
      <c r="H116" s="72" t="s">
        <v>282</v>
      </c>
      <c r="I116" s="44" t="s">
        <v>1025</v>
      </c>
      <c r="J116" s="72" t="s">
        <v>283</v>
      </c>
      <c r="K116" s="44" t="s">
        <v>247</v>
      </c>
      <c r="L116" s="44" t="s">
        <v>1026</v>
      </c>
      <c r="M116" s="45" t="s">
        <v>247</v>
      </c>
      <c r="N116" s="66" t="s">
        <v>139</v>
      </c>
      <c r="O116" s="67" t="s">
        <v>287</v>
      </c>
    </row>
    <row r="117" spans="1:15">
      <c r="A117" s="74">
        <v>300127</v>
      </c>
      <c r="B117" s="44" t="s">
        <v>364</v>
      </c>
      <c r="C117" s="44" t="s">
        <v>1027</v>
      </c>
      <c r="D117" s="44" t="s">
        <v>1027</v>
      </c>
      <c r="E117" s="44" t="s">
        <v>1028</v>
      </c>
      <c r="F117" s="44" t="s">
        <v>1029</v>
      </c>
      <c r="G117" s="44" t="s">
        <v>1030</v>
      </c>
      <c r="H117" s="72" t="s">
        <v>282</v>
      </c>
      <c r="I117" s="44" t="s">
        <v>1031</v>
      </c>
      <c r="J117" s="72" t="s">
        <v>283</v>
      </c>
      <c r="K117" s="44" t="s">
        <v>1032</v>
      </c>
      <c r="L117" s="44" t="s">
        <v>247</v>
      </c>
      <c r="M117" s="45" t="s">
        <v>247</v>
      </c>
      <c r="N117" s="66" t="s">
        <v>139</v>
      </c>
      <c r="O117" s="67" t="s">
        <v>287</v>
      </c>
    </row>
    <row r="118" spans="1:15">
      <c r="A118" s="74">
        <v>300128</v>
      </c>
      <c r="B118" s="44" t="s">
        <v>315</v>
      </c>
      <c r="C118" s="44" t="s">
        <v>1033</v>
      </c>
      <c r="D118" s="44" t="s">
        <v>1033</v>
      </c>
      <c r="E118" s="44" t="s">
        <v>1034</v>
      </c>
      <c r="F118" s="44" t="s">
        <v>1035</v>
      </c>
      <c r="G118" s="44" t="s">
        <v>1036</v>
      </c>
      <c r="H118" s="72" t="s">
        <v>282</v>
      </c>
      <c r="I118" s="44" t="s">
        <v>1037</v>
      </c>
      <c r="J118" s="72" t="s">
        <v>283</v>
      </c>
      <c r="K118" s="44" t="s">
        <v>247</v>
      </c>
      <c r="L118" s="44" t="s">
        <v>1038</v>
      </c>
      <c r="M118" s="45" t="s">
        <v>247</v>
      </c>
      <c r="N118" s="66" t="s">
        <v>139</v>
      </c>
      <c r="O118" s="67" t="s">
        <v>287</v>
      </c>
    </row>
    <row r="119" spans="1:15">
      <c r="A119" s="74">
        <v>300129</v>
      </c>
      <c r="B119" s="44" t="s">
        <v>276</v>
      </c>
      <c r="C119" s="44" t="s">
        <v>1039</v>
      </c>
      <c r="D119" s="44" t="s">
        <v>1039</v>
      </c>
      <c r="E119" s="44" t="s">
        <v>1040</v>
      </c>
      <c r="F119" s="44" t="s">
        <v>1041</v>
      </c>
      <c r="G119" s="44" t="s">
        <v>1042</v>
      </c>
      <c r="H119" s="72" t="s">
        <v>282</v>
      </c>
      <c r="I119" s="44" t="s">
        <v>1043</v>
      </c>
      <c r="J119" s="72" t="s">
        <v>283</v>
      </c>
      <c r="K119" s="44" t="s">
        <v>247</v>
      </c>
      <c r="L119" s="44" t="s">
        <v>1044</v>
      </c>
      <c r="M119" s="45" t="s">
        <v>247</v>
      </c>
      <c r="N119" s="66" t="s">
        <v>139</v>
      </c>
      <c r="O119" s="67" t="s">
        <v>287</v>
      </c>
    </row>
    <row r="120" spans="1:15">
      <c r="A120" s="74">
        <v>300130</v>
      </c>
      <c r="B120" s="44" t="s">
        <v>276</v>
      </c>
      <c r="C120" s="44" t="s">
        <v>1045</v>
      </c>
      <c r="D120" s="44" t="s">
        <v>1045</v>
      </c>
      <c r="E120" s="44" t="s">
        <v>1046</v>
      </c>
      <c r="F120" s="44" t="s">
        <v>1047</v>
      </c>
      <c r="G120" s="44" t="s">
        <v>1048</v>
      </c>
      <c r="H120" s="72" t="s">
        <v>282</v>
      </c>
      <c r="I120" s="44" t="s">
        <v>1049</v>
      </c>
      <c r="J120" s="72" t="s">
        <v>283</v>
      </c>
      <c r="K120" s="44" t="s">
        <v>247</v>
      </c>
      <c r="L120" s="44" t="s">
        <v>1050</v>
      </c>
      <c r="M120" s="45" t="s">
        <v>247</v>
      </c>
      <c r="N120" s="66" t="s">
        <v>139</v>
      </c>
      <c r="O120" s="67" t="s">
        <v>287</v>
      </c>
    </row>
    <row r="121" spans="1:15">
      <c r="A121" s="74">
        <v>300131</v>
      </c>
      <c r="B121" s="44" t="s">
        <v>315</v>
      </c>
      <c r="C121" s="44" t="s">
        <v>1051</v>
      </c>
      <c r="D121" s="44" t="s">
        <v>1051</v>
      </c>
      <c r="E121" s="44" t="s">
        <v>1052</v>
      </c>
      <c r="F121" s="44" t="s">
        <v>1053</v>
      </c>
      <c r="G121" s="44" t="s">
        <v>293</v>
      </c>
      <c r="H121" s="72" t="s">
        <v>294</v>
      </c>
      <c r="I121" s="44" t="s">
        <v>1054</v>
      </c>
      <c r="J121" s="72" t="s">
        <v>283</v>
      </c>
      <c r="K121" s="44" t="s">
        <v>1055</v>
      </c>
      <c r="L121" s="44" t="s">
        <v>1056</v>
      </c>
      <c r="M121" s="45" t="s">
        <v>247</v>
      </c>
      <c r="N121" s="66" t="s">
        <v>287</v>
      </c>
      <c r="O121" s="67" t="s">
        <v>139</v>
      </c>
    </row>
    <row r="122" spans="1:15">
      <c r="A122" s="74">
        <v>300132</v>
      </c>
      <c r="B122" s="44" t="s">
        <v>364</v>
      </c>
      <c r="C122" s="44" t="s">
        <v>1057</v>
      </c>
      <c r="D122" s="44" t="s">
        <v>1057</v>
      </c>
      <c r="E122" s="44" t="s">
        <v>1058</v>
      </c>
      <c r="F122" s="44" t="s">
        <v>1059</v>
      </c>
      <c r="G122" s="44" t="s">
        <v>293</v>
      </c>
      <c r="H122" s="72" t="s">
        <v>294</v>
      </c>
      <c r="I122" s="44" t="s">
        <v>1060</v>
      </c>
      <c r="J122" s="72" t="s">
        <v>283</v>
      </c>
      <c r="K122" s="44" t="s">
        <v>247</v>
      </c>
      <c r="L122" s="44" t="s">
        <v>1061</v>
      </c>
      <c r="M122" s="45" t="s">
        <v>247</v>
      </c>
      <c r="N122" s="66" t="s">
        <v>287</v>
      </c>
      <c r="O122" s="67" t="s">
        <v>139</v>
      </c>
    </row>
    <row r="123" spans="1:15">
      <c r="A123" s="74">
        <v>300133</v>
      </c>
      <c r="B123" s="44" t="s">
        <v>364</v>
      </c>
      <c r="C123" s="44" t="s">
        <v>1062</v>
      </c>
      <c r="D123" s="44" t="s">
        <v>1062</v>
      </c>
      <c r="E123" s="44" t="s">
        <v>1063</v>
      </c>
      <c r="F123" s="44" t="s">
        <v>1064</v>
      </c>
      <c r="G123" s="44" t="s">
        <v>293</v>
      </c>
      <c r="H123" s="72" t="s">
        <v>294</v>
      </c>
      <c r="I123" s="44" t="s">
        <v>1065</v>
      </c>
      <c r="J123" s="72" t="s">
        <v>283</v>
      </c>
      <c r="K123" s="44" t="s">
        <v>1066</v>
      </c>
      <c r="L123" s="44" t="s">
        <v>247</v>
      </c>
      <c r="M123" s="45" t="s">
        <v>247</v>
      </c>
      <c r="N123" s="66" t="s">
        <v>287</v>
      </c>
      <c r="O123" s="67" t="s">
        <v>139</v>
      </c>
    </row>
    <row r="124" spans="1:15">
      <c r="A124" s="74">
        <v>300134</v>
      </c>
      <c r="B124" s="44" t="s">
        <v>364</v>
      </c>
      <c r="C124" s="44" t="s">
        <v>1067</v>
      </c>
      <c r="D124" s="44" t="s">
        <v>1067</v>
      </c>
      <c r="E124" s="44" t="s">
        <v>1068</v>
      </c>
      <c r="F124" s="44" t="s">
        <v>1069</v>
      </c>
      <c r="G124" s="44" t="s">
        <v>293</v>
      </c>
      <c r="H124" s="72" t="s">
        <v>294</v>
      </c>
      <c r="I124" s="44" t="s">
        <v>1070</v>
      </c>
      <c r="J124" s="72" t="s">
        <v>283</v>
      </c>
      <c r="K124" s="44" t="s">
        <v>1066</v>
      </c>
      <c r="L124" s="44" t="s">
        <v>247</v>
      </c>
      <c r="M124" s="45" t="s">
        <v>247</v>
      </c>
      <c r="N124" s="66" t="s">
        <v>287</v>
      </c>
      <c r="O124" s="67" t="s">
        <v>139</v>
      </c>
    </row>
    <row r="125" spans="1:15">
      <c r="A125" s="74">
        <v>300135</v>
      </c>
      <c r="B125" s="44" t="s">
        <v>380</v>
      </c>
      <c r="C125" s="44" t="s">
        <v>1071</v>
      </c>
      <c r="D125" s="44" t="s">
        <v>1071</v>
      </c>
      <c r="E125" s="44" t="s">
        <v>1072</v>
      </c>
      <c r="F125" s="44" t="s">
        <v>1073</v>
      </c>
      <c r="G125" s="44" t="s">
        <v>293</v>
      </c>
      <c r="H125" s="72" t="s">
        <v>294</v>
      </c>
      <c r="I125" s="44" t="s">
        <v>1074</v>
      </c>
      <c r="J125" s="72" t="s">
        <v>283</v>
      </c>
      <c r="K125" s="44" t="s">
        <v>1075</v>
      </c>
      <c r="L125" s="44" t="s">
        <v>1076</v>
      </c>
      <c r="M125" s="45" t="s">
        <v>247</v>
      </c>
      <c r="N125" s="66" t="s">
        <v>287</v>
      </c>
      <c r="O125" s="67" t="s">
        <v>139</v>
      </c>
    </row>
    <row r="126" spans="1:15">
      <c r="A126" s="74">
        <v>300136</v>
      </c>
      <c r="B126" s="44" t="s">
        <v>276</v>
      </c>
      <c r="C126" s="44" t="s">
        <v>1077</v>
      </c>
      <c r="D126" s="44" t="s">
        <v>1077</v>
      </c>
      <c r="E126" s="44" t="s">
        <v>1078</v>
      </c>
      <c r="F126" s="44" t="s">
        <v>1079</v>
      </c>
      <c r="G126" s="44" t="s">
        <v>293</v>
      </c>
      <c r="H126" s="72" t="s">
        <v>294</v>
      </c>
      <c r="I126" s="44" t="s">
        <v>1080</v>
      </c>
      <c r="J126" s="72" t="s">
        <v>283</v>
      </c>
      <c r="K126" s="44" t="s">
        <v>247</v>
      </c>
      <c r="L126" s="44" t="s">
        <v>1081</v>
      </c>
      <c r="M126" s="45" t="s">
        <v>247</v>
      </c>
      <c r="N126" s="66" t="s">
        <v>139</v>
      </c>
      <c r="O126" s="67" t="s">
        <v>139</v>
      </c>
    </row>
    <row r="127" spans="1:15">
      <c r="A127" s="74">
        <v>300137</v>
      </c>
      <c r="B127" s="44" t="s">
        <v>758</v>
      </c>
      <c r="C127" s="44" t="s">
        <v>1082</v>
      </c>
      <c r="D127" s="44" t="s">
        <v>1082</v>
      </c>
      <c r="E127" s="44" t="s">
        <v>1083</v>
      </c>
      <c r="F127" s="44" t="s">
        <v>1084</v>
      </c>
      <c r="G127" s="44" t="s">
        <v>293</v>
      </c>
      <c r="H127" s="72" t="s">
        <v>294</v>
      </c>
      <c r="I127" s="44" t="s">
        <v>1085</v>
      </c>
      <c r="J127" s="72" t="s">
        <v>283</v>
      </c>
      <c r="K127" s="44" t="s">
        <v>1086</v>
      </c>
      <c r="L127" s="44" t="s">
        <v>1087</v>
      </c>
      <c r="M127" s="45" t="s">
        <v>247</v>
      </c>
      <c r="N127" s="66" t="s">
        <v>287</v>
      </c>
      <c r="O127" s="67" t="s">
        <v>139</v>
      </c>
    </row>
    <row r="128" spans="1:15">
      <c r="A128" s="74">
        <v>300138</v>
      </c>
      <c r="B128" s="44" t="s">
        <v>899</v>
      </c>
      <c r="C128" s="44" t="s">
        <v>1088</v>
      </c>
      <c r="D128" s="44" t="s">
        <v>1088</v>
      </c>
      <c r="E128" s="44" t="s">
        <v>1089</v>
      </c>
      <c r="F128" s="44" t="s">
        <v>1090</v>
      </c>
      <c r="G128" s="44" t="s">
        <v>293</v>
      </c>
      <c r="H128" s="72" t="s">
        <v>1091</v>
      </c>
      <c r="I128" s="44" t="s">
        <v>1065</v>
      </c>
      <c r="J128" s="72" t="s">
        <v>283</v>
      </c>
      <c r="K128" s="44" t="s">
        <v>1092</v>
      </c>
      <c r="L128" s="44" t="s">
        <v>1093</v>
      </c>
      <c r="M128" s="45" t="s">
        <v>247</v>
      </c>
      <c r="N128" s="66" t="s">
        <v>287</v>
      </c>
      <c r="O128" s="67" t="s">
        <v>139</v>
      </c>
    </row>
    <row r="129" spans="1:15">
      <c r="A129" s="74">
        <v>300139</v>
      </c>
      <c r="B129" s="44" t="s">
        <v>339</v>
      </c>
      <c r="C129" s="44" t="s">
        <v>1094</v>
      </c>
      <c r="D129" s="44" t="s">
        <v>1094</v>
      </c>
      <c r="E129" s="44" t="s">
        <v>1095</v>
      </c>
      <c r="F129" s="44" t="s">
        <v>1096</v>
      </c>
      <c r="G129" s="44" t="s">
        <v>293</v>
      </c>
      <c r="H129" s="72" t="s">
        <v>294</v>
      </c>
      <c r="I129" s="44" t="s">
        <v>1097</v>
      </c>
      <c r="J129" s="72" t="s">
        <v>283</v>
      </c>
      <c r="K129" s="44" t="s">
        <v>1098</v>
      </c>
      <c r="L129" s="44" t="s">
        <v>1099</v>
      </c>
      <c r="M129" s="45" t="s">
        <v>247</v>
      </c>
      <c r="N129" s="66" t="s">
        <v>287</v>
      </c>
      <c r="O129" s="67" t="s">
        <v>139</v>
      </c>
    </row>
    <row r="130" spans="1:15">
      <c r="A130" s="74">
        <v>300140</v>
      </c>
      <c r="B130" s="44" t="s">
        <v>380</v>
      </c>
      <c r="C130" s="44" t="s">
        <v>1100</v>
      </c>
      <c r="D130" s="44" t="s">
        <v>1101</v>
      </c>
      <c r="E130" s="44" t="s">
        <v>1102</v>
      </c>
      <c r="F130" s="44" t="s">
        <v>1103</v>
      </c>
      <c r="G130" s="44" t="s">
        <v>293</v>
      </c>
      <c r="H130" s="72" t="s">
        <v>294</v>
      </c>
      <c r="I130" s="44" t="s">
        <v>1104</v>
      </c>
      <c r="J130" s="72" t="s">
        <v>283</v>
      </c>
      <c r="K130" s="44" t="s">
        <v>1105</v>
      </c>
      <c r="L130" s="44" t="s">
        <v>1106</v>
      </c>
      <c r="M130" s="45" t="s">
        <v>247</v>
      </c>
      <c r="N130" s="66" t="s">
        <v>287</v>
      </c>
      <c r="O130" s="67" t="s">
        <v>139</v>
      </c>
    </row>
    <row r="131" spans="1:15">
      <c r="A131" s="74">
        <v>300141</v>
      </c>
      <c r="B131" s="44" t="s">
        <v>1107</v>
      </c>
      <c r="C131" s="44" t="s">
        <v>1108</v>
      </c>
      <c r="D131" s="44" t="s">
        <v>1108</v>
      </c>
      <c r="E131" s="44" t="s">
        <v>1109</v>
      </c>
      <c r="F131" s="44" t="s">
        <v>1110</v>
      </c>
      <c r="G131" s="44" t="s">
        <v>293</v>
      </c>
      <c r="H131" s="72" t="s">
        <v>294</v>
      </c>
      <c r="I131" s="44" t="s">
        <v>1111</v>
      </c>
      <c r="J131" s="72" t="s">
        <v>283</v>
      </c>
      <c r="K131" s="44" t="s">
        <v>1112</v>
      </c>
      <c r="L131" s="44" t="s">
        <v>247</v>
      </c>
      <c r="M131" s="45" t="s">
        <v>247</v>
      </c>
      <c r="N131" s="66" t="s">
        <v>287</v>
      </c>
      <c r="O131" s="67" t="s">
        <v>139</v>
      </c>
    </row>
    <row r="132" spans="1:15">
      <c r="A132" s="74">
        <v>300141</v>
      </c>
      <c r="B132" s="44" t="s">
        <v>1107</v>
      </c>
      <c r="C132" s="44" t="s">
        <v>1108</v>
      </c>
      <c r="D132" s="44" t="s">
        <v>1108</v>
      </c>
      <c r="E132" s="44" t="s">
        <v>1109</v>
      </c>
      <c r="F132" s="44" t="s">
        <v>1110</v>
      </c>
      <c r="G132" s="44" t="s">
        <v>293</v>
      </c>
      <c r="H132" s="72" t="s">
        <v>294</v>
      </c>
      <c r="I132" s="44" t="s">
        <v>1113</v>
      </c>
      <c r="J132" s="72" t="s">
        <v>283</v>
      </c>
      <c r="K132" s="44" t="s">
        <v>1112</v>
      </c>
      <c r="L132" s="44" t="s">
        <v>1114</v>
      </c>
      <c r="M132" s="45" t="s">
        <v>247</v>
      </c>
      <c r="N132" s="66" t="s">
        <v>287</v>
      </c>
      <c r="O132" s="67" t="s">
        <v>139</v>
      </c>
    </row>
    <row r="133" spans="1:15">
      <c r="A133" s="74">
        <v>300142</v>
      </c>
      <c r="B133" s="44" t="s">
        <v>1107</v>
      </c>
      <c r="C133" s="44" t="s">
        <v>1115</v>
      </c>
      <c r="D133" s="44" t="s">
        <v>1115</v>
      </c>
      <c r="E133" s="44" t="s">
        <v>1116</v>
      </c>
      <c r="F133" s="44" t="s">
        <v>1117</v>
      </c>
      <c r="G133" s="44" t="s">
        <v>293</v>
      </c>
      <c r="H133" s="72" t="s">
        <v>294</v>
      </c>
      <c r="I133" s="44" t="s">
        <v>1113</v>
      </c>
      <c r="J133" s="72" t="s">
        <v>283</v>
      </c>
      <c r="K133" s="44" t="s">
        <v>1112</v>
      </c>
      <c r="L133" s="44" t="s">
        <v>1114</v>
      </c>
      <c r="M133" s="45" t="s">
        <v>247</v>
      </c>
      <c r="N133" s="66" t="s">
        <v>287</v>
      </c>
      <c r="O133" s="67" t="s">
        <v>139</v>
      </c>
    </row>
    <row r="134" spans="1:15">
      <c r="A134" s="74">
        <v>300143</v>
      </c>
      <c r="B134" s="44" t="s">
        <v>1107</v>
      </c>
      <c r="C134" s="44" t="s">
        <v>1118</v>
      </c>
      <c r="D134" s="44" t="s">
        <v>1118</v>
      </c>
      <c r="E134" s="44" t="s">
        <v>1119</v>
      </c>
      <c r="F134" s="44" t="s">
        <v>1120</v>
      </c>
      <c r="G134" s="44" t="s">
        <v>293</v>
      </c>
      <c r="H134" s="72" t="s">
        <v>294</v>
      </c>
      <c r="I134" s="44" t="s">
        <v>1121</v>
      </c>
      <c r="J134" s="72" t="s">
        <v>283</v>
      </c>
      <c r="K134" s="44" t="s">
        <v>247</v>
      </c>
      <c r="L134" s="44" t="s">
        <v>1122</v>
      </c>
      <c r="M134" s="45" t="s">
        <v>247</v>
      </c>
      <c r="N134" s="66" t="s">
        <v>287</v>
      </c>
      <c r="O134" s="67" t="s">
        <v>139</v>
      </c>
    </row>
    <row r="135" spans="1:15">
      <c r="A135" s="74">
        <v>300144</v>
      </c>
      <c r="B135" s="44" t="s">
        <v>1107</v>
      </c>
      <c r="C135" s="44" t="s">
        <v>1123</v>
      </c>
      <c r="D135" s="44" t="s">
        <v>1123</v>
      </c>
      <c r="E135" s="44" t="s">
        <v>1124</v>
      </c>
      <c r="F135" s="44" t="s">
        <v>1125</v>
      </c>
      <c r="G135" s="44" t="s">
        <v>293</v>
      </c>
      <c r="H135" s="72" t="s">
        <v>294</v>
      </c>
      <c r="I135" s="44" t="s">
        <v>1126</v>
      </c>
      <c r="J135" s="72" t="s">
        <v>283</v>
      </c>
      <c r="K135" s="44" t="s">
        <v>247</v>
      </c>
      <c r="L135" s="44" t="s">
        <v>1127</v>
      </c>
      <c r="M135" s="45" t="s">
        <v>247</v>
      </c>
      <c r="N135" s="66" t="s">
        <v>287</v>
      </c>
      <c r="O135" s="67" t="s">
        <v>139</v>
      </c>
    </row>
    <row r="136" spans="1:15">
      <c r="A136" s="74">
        <v>300145</v>
      </c>
      <c r="B136" s="44" t="s">
        <v>452</v>
      </c>
      <c r="C136" s="44" t="s">
        <v>1128</v>
      </c>
      <c r="D136" s="44" t="s">
        <v>1128</v>
      </c>
      <c r="E136" s="44" t="s">
        <v>1129</v>
      </c>
      <c r="F136" s="44" t="s">
        <v>1130</v>
      </c>
      <c r="G136" s="44" t="s">
        <v>293</v>
      </c>
      <c r="H136" s="72" t="s">
        <v>294</v>
      </c>
      <c r="I136" s="44" t="s">
        <v>1131</v>
      </c>
      <c r="J136" s="72" t="s">
        <v>283</v>
      </c>
      <c r="K136" s="44" t="s">
        <v>247</v>
      </c>
      <c r="L136" s="44" t="s">
        <v>247</v>
      </c>
      <c r="M136" s="45" t="s">
        <v>247</v>
      </c>
      <c r="N136" s="66" t="s">
        <v>287</v>
      </c>
      <c r="O136" s="67" t="s">
        <v>139</v>
      </c>
    </row>
    <row r="137" spans="1:15">
      <c r="A137" s="74">
        <v>300146</v>
      </c>
      <c r="B137" s="44" t="s">
        <v>1132</v>
      </c>
      <c r="C137" s="44" t="s">
        <v>1133</v>
      </c>
      <c r="D137" s="44" t="s">
        <v>1133</v>
      </c>
      <c r="E137" s="44" t="s">
        <v>1134</v>
      </c>
      <c r="F137" s="44" t="s">
        <v>1135</v>
      </c>
      <c r="G137" s="44" t="s">
        <v>293</v>
      </c>
      <c r="H137" s="72" t="s">
        <v>294</v>
      </c>
      <c r="I137" s="44" t="s">
        <v>1136</v>
      </c>
      <c r="J137" s="72" t="s">
        <v>283</v>
      </c>
      <c r="K137" s="44" t="s">
        <v>247</v>
      </c>
      <c r="L137" s="44" t="s">
        <v>247</v>
      </c>
      <c r="M137" s="45" t="s">
        <v>247</v>
      </c>
      <c r="N137" s="66" t="s">
        <v>287</v>
      </c>
      <c r="O137" s="67" t="s">
        <v>139</v>
      </c>
    </row>
    <row r="138" spans="1:15">
      <c r="A138" s="74">
        <v>300147</v>
      </c>
      <c r="B138" s="44" t="s">
        <v>1137</v>
      </c>
      <c r="C138" s="44" t="s">
        <v>1138</v>
      </c>
      <c r="D138" s="44" t="s">
        <v>1139</v>
      </c>
      <c r="E138" s="44" t="s">
        <v>1140</v>
      </c>
      <c r="F138" s="44" t="s">
        <v>1141</v>
      </c>
      <c r="G138" s="44" t="s">
        <v>293</v>
      </c>
      <c r="H138" s="72" t="s">
        <v>294</v>
      </c>
      <c r="I138" s="44" t="s">
        <v>1142</v>
      </c>
      <c r="J138" s="72" t="s">
        <v>283</v>
      </c>
      <c r="K138" s="44" t="s">
        <v>1143</v>
      </c>
      <c r="L138" s="44" t="s">
        <v>1144</v>
      </c>
      <c r="M138" s="45" t="s">
        <v>247</v>
      </c>
      <c r="N138" s="66" t="s">
        <v>287</v>
      </c>
      <c r="O138" s="67" t="s">
        <v>139</v>
      </c>
    </row>
    <row r="139" spans="1:15">
      <c r="A139" s="74">
        <v>300148</v>
      </c>
      <c r="B139" s="44" t="s">
        <v>1145</v>
      </c>
      <c r="C139" s="44" t="s">
        <v>1146</v>
      </c>
      <c r="D139" s="44" t="s">
        <v>1146</v>
      </c>
      <c r="E139" s="44" t="s">
        <v>1147</v>
      </c>
      <c r="F139" s="44" t="s">
        <v>247</v>
      </c>
      <c r="G139" s="44" t="s">
        <v>247</v>
      </c>
      <c r="H139" s="72" t="s">
        <v>247</v>
      </c>
      <c r="I139" s="44" t="s">
        <v>247</v>
      </c>
      <c r="J139" s="72" t="s">
        <v>283</v>
      </c>
      <c r="K139" s="44" t="s">
        <v>247</v>
      </c>
      <c r="L139" s="44" t="s">
        <v>247</v>
      </c>
      <c r="M139" s="45" t="s">
        <v>247</v>
      </c>
      <c r="N139" s="66" t="s">
        <v>139</v>
      </c>
      <c r="O139" s="67" t="s">
        <v>287</v>
      </c>
    </row>
    <row r="140" spans="1:15">
      <c r="A140" s="74">
        <v>300149</v>
      </c>
      <c r="B140" s="44" t="s">
        <v>1148</v>
      </c>
      <c r="C140" s="44" t="s">
        <v>1149</v>
      </c>
      <c r="D140" s="44" t="s">
        <v>1150</v>
      </c>
      <c r="E140" s="44" t="s">
        <v>1151</v>
      </c>
      <c r="F140" s="44" t="s">
        <v>1152</v>
      </c>
      <c r="G140" s="44" t="s">
        <v>293</v>
      </c>
      <c r="H140" s="72" t="s">
        <v>294</v>
      </c>
      <c r="I140" s="44" t="s">
        <v>1153</v>
      </c>
      <c r="J140" s="72" t="s">
        <v>283</v>
      </c>
      <c r="K140" s="44" t="s">
        <v>1154</v>
      </c>
      <c r="L140" s="44" t="s">
        <v>247</v>
      </c>
      <c r="M140" s="45" t="s">
        <v>247</v>
      </c>
      <c r="N140" s="66" t="s">
        <v>139</v>
      </c>
      <c r="O140" s="67" t="s">
        <v>139</v>
      </c>
    </row>
    <row r="141" spans="1:15">
      <c r="A141" s="74">
        <v>300150</v>
      </c>
      <c r="B141" s="44" t="s">
        <v>452</v>
      </c>
      <c r="C141" s="44" t="s">
        <v>1155</v>
      </c>
      <c r="D141" s="44" t="s">
        <v>1156</v>
      </c>
      <c r="E141" s="44" t="s">
        <v>1157</v>
      </c>
      <c r="F141" s="44" t="s">
        <v>1158</v>
      </c>
      <c r="G141" s="44" t="s">
        <v>344</v>
      </c>
      <c r="H141" s="72" t="s">
        <v>294</v>
      </c>
      <c r="I141" s="44" t="s">
        <v>1159</v>
      </c>
      <c r="J141" s="72" t="s">
        <v>283</v>
      </c>
      <c r="K141" s="44" t="s">
        <v>923</v>
      </c>
      <c r="L141" s="44" t="s">
        <v>1160</v>
      </c>
      <c r="M141" s="45" t="s">
        <v>247</v>
      </c>
      <c r="N141" s="66" t="s">
        <v>287</v>
      </c>
      <c r="O141" s="67" t="s">
        <v>287</v>
      </c>
    </row>
    <row r="142" spans="1:15">
      <c r="A142" s="74">
        <v>300151</v>
      </c>
      <c r="B142" s="44" t="s">
        <v>339</v>
      </c>
      <c r="C142" s="44" t="s">
        <v>1161</v>
      </c>
      <c r="D142" s="44" t="s">
        <v>1161</v>
      </c>
      <c r="E142" s="44" t="s">
        <v>1162</v>
      </c>
      <c r="F142" s="44" t="s">
        <v>1163</v>
      </c>
      <c r="G142" s="44" t="s">
        <v>1164</v>
      </c>
      <c r="H142" s="72" t="s">
        <v>1165</v>
      </c>
      <c r="I142" s="44" t="s">
        <v>1166</v>
      </c>
      <c r="J142" s="72" t="s">
        <v>283</v>
      </c>
      <c r="K142" s="44" t="s">
        <v>1167</v>
      </c>
      <c r="L142" s="44" t="s">
        <v>1168</v>
      </c>
      <c r="M142" s="45" t="s">
        <v>247</v>
      </c>
      <c r="N142" s="66" t="s">
        <v>287</v>
      </c>
      <c r="O142" s="67" t="s">
        <v>287</v>
      </c>
    </row>
    <row r="143" spans="1:15">
      <c r="A143" s="74">
        <v>300152</v>
      </c>
      <c r="B143" s="44" t="s">
        <v>435</v>
      </c>
      <c r="C143" s="44" t="s">
        <v>1169</v>
      </c>
      <c r="D143" s="44" t="s">
        <v>1170</v>
      </c>
      <c r="E143" s="44" t="s">
        <v>1171</v>
      </c>
      <c r="F143" s="44" t="s">
        <v>1172</v>
      </c>
      <c r="G143" s="44" t="s">
        <v>293</v>
      </c>
      <c r="H143" s="72" t="s">
        <v>1173</v>
      </c>
      <c r="I143" s="44" t="s">
        <v>1174</v>
      </c>
      <c r="J143" s="72" t="s">
        <v>283</v>
      </c>
      <c r="K143" s="44" t="s">
        <v>664</v>
      </c>
      <c r="L143" s="44" t="s">
        <v>1175</v>
      </c>
      <c r="M143" s="45" t="s">
        <v>247</v>
      </c>
      <c r="N143" s="66" t="s">
        <v>287</v>
      </c>
      <c r="O143" s="67" t="s">
        <v>139</v>
      </c>
    </row>
    <row r="144" spans="1:15">
      <c r="A144" s="74">
        <v>300153</v>
      </c>
      <c r="B144" s="44" t="s">
        <v>276</v>
      </c>
      <c r="C144" s="44" t="s">
        <v>1176</v>
      </c>
      <c r="D144" s="44" t="s">
        <v>1176</v>
      </c>
      <c r="E144" s="44" t="s">
        <v>1177</v>
      </c>
      <c r="F144" s="44" t="s">
        <v>1178</v>
      </c>
      <c r="G144" s="44" t="s">
        <v>303</v>
      </c>
      <c r="H144" s="72" t="s">
        <v>282</v>
      </c>
      <c r="I144" s="44" t="s">
        <v>1179</v>
      </c>
      <c r="J144" s="72" t="s">
        <v>283</v>
      </c>
      <c r="K144" s="44" t="s">
        <v>247</v>
      </c>
      <c r="L144" s="44" t="s">
        <v>1180</v>
      </c>
      <c r="M144" s="45" t="s">
        <v>247</v>
      </c>
      <c r="N144" s="66" t="s">
        <v>139</v>
      </c>
      <c r="O144" s="67" t="s">
        <v>287</v>
      </c>
    </row>
    <row r="145" spans="1:15">
      <c r="A145" s="74">
        <v>300154</v>
      </c>
      <c r="B145" s="44" t="s">
        <v>364</v>
      </c>
      <c r="C145" s="44" t="s">
        <v>1181</v>
      </c>
      <c r="D145" s="44" t="s">
        <v>1181</v>
      </c>
      <c r="E145" s="44" t="s">
        <v>1182</v>
      </c>
      <c r="F145" s="44" t="s">
        <v>1183</v>
      </c>
      <c r="G145" s="44" t="s">
        <v>293</v>
      </c>
      <c r="H145" s="72" t="s">
        <v>294</v>
      </c>
      <c r="I145" s="44" t="s">
        <v>1184</v>
      </c>
      <c r="J145" s="72" t="s">
        <v>283</v>
      </c>
      <c r="K145" s="44" t="s">
        <v>1185</v>
      </c>
      <c r="L145" s="44" t="s">
        <v>1186</v>
      </c>
      <c r="M145" s="45" t="s">
        <v>247</v>
      </c>
      <c r="N145" s="66" t="s">
        <v>287</v>
      </c>
      <c r="O145" s="67" t="s">
        <v>139</v>
      </c>
    </row>
    <row r="146" spans="1:15">
      <c r="A146" s="74">
        <v>300155</v>
      </c>
      <c r="B146" s="44" t="s">
        <v>672</v>
      </c>
      <c r="C146" s="44" t="s">
        <v>1187</v>
      </c>
      <c r="D146" s="44" t="s">
        <v>1187</v>
      </c>
      <c r="E146" s="44" t="s">
        <v>1188</v>
      </c>
      <c r="F146" s="44" t="s">
        <v>1189</v>
      </c>
      <c r="G146" s="44" t="s">
        <v>353</v>
      </c>
      <c r="H146" s="72" t="s">
        <v>294</v>
      </c>
      <c r="I146" s="44" t="s">
        <v>1190</v>
      </c>
      <c r="J146" s="72" t="s">
        <v>283</v>
      </c>
      <c r="K146" s="44" t="s">
        <v>1191</v>
      </c>
      <c r="L146" s="44" t="s">
        <v>1192</v>
      </c>
      <c r="M146" s="45" t="s">
        <v>247</v>
      </c>
      <c r="N146" s="66" t="s">
        <v>287</v>
      </c>
      <c r="O146" s="67" t="s">
        <v>287</v>
      </c>
    </row>
    <row r="147" spans="1:15">
      <c r="A147" s="74">
        <v>300156</v>
      </c>
      <c r="B147" s="44" t="s">
        <v>1193</v>
      </c>
      <c r="C147" s="44" t="s">
        <v>1194</v>
      </c>
      <c r="D147" s="44" t="s">
        <v>1194</v>
      </c>
      <c r="E147" s="44" t="s">
        <v>1195</v>
      </c>
      <c r="F147" s="44" t="s">
        <v>1196</v>
      </c>
      <c r="G147" s="44" t="s">
        <v>293</v>
      </c>
      <c r="H147" s="72" t="s">
        <v>294</v>
      </c>
      <c r="I147" s="44" t="s">
        <v>1197</v>
      </c>
      <c r="J147" s="72" t="s">
        <v>283</v>
      </c>
      <c r="K147" s="44" t="s">
        <v>1198</v>
      </c>
      <c r="L147" s="44" t="s">
        <v>1199</v>
      </c>
      <c r="M147" s="45" t="s">
        <v>247</v>
      </c>
      <c r="N147" s="66" t="s">
        <v>287</v>
      </c>
      <c r="O147" s="67" t="s">
        <v>139</v>
      </c>
    </row>
    <row r="148" spans="1:15">
      <c r="A148" s="74">
        <v>300157</v>
      </c>
      <c r="B148" s="44" t="s">
        <v>672</v>
      </c>
      <c r="C148" s="44" t="s">
        <v>1200</v>
      </c>
      <c r="D148" s="44" t="s">
        <v>1201</v>
      </c>
      <c r="E148" s="44" t="s">
        <v>1202</v>
      </c>
      <c r="F148" s="44" t="s">
        <v>1203</v>
      </c>
      <c r="G148" s="44" t="s">
        <v>293</v>
      </c>
      <c r="H148" s="72" t="s">
        <v>294</v>
      </c>
      <c r="I148" s="44" t="s">
        <v>1204</v>
      </c>
      <c r="J148" s="72" t="s">
        <v>283</v>
      </c>
      <c r="K148" s="44" t="s">
        <v>1205</v>
      </c>
      <c r="L148" s="44" t="s">
        <v>1206</v>
      </c>
      <c r="M148" s="45" t="s">
        <v>247</v>
      </c>
      <c r="N148" s="66" t="s">
        <v>287</v>
      </c>
      <c r="O148" s="67" t="s">
        <v>139</v>
      </c>
    </row>
    <row r="149" spans="1:15">
      <c r="A149" s="74">
        <v>300158</v>
      </c>
      <c r="B149" s="44" t="s">
        <v>1132</v>
      </c>
      <c r="C149" s="44" t="s">
        <v>1207</v>
      </c>
      <c r="D149" s="44" t="s">
        <v>1207</v>
      </c>
      <c r="E149" s="44" t="s">
        <v>1208</v>
      </c>
      <c r="F149" s="44" t="s">
        <v>1209</v>
      </c>
      <c r="G149" s="44" t="s">
        <v>293</v>
      </c>
      <c r="H149" s="72" t="s">
        <v>294</v>
      </c>
      <c r="I149" s="44" t="s">
        <v>1210</v>
      </c>
      <c r="J149" s="72" t="s">
        <v>283</v>
      </c>
      <c r="K149" s="44" t="s">
        <v>1211</v>
      </c>
      <c r="L149" s="44" t="s">
        <v>1212</v>
      </c>
      <c r="M149" s="45" t="s">
        <v>247</v>
      </c>
      <c r="N149" s="66" t="s">
        <v>287</v>
      </c>
      <c r="O149" s="67" t="s">
        <v>139</v>
      </c>
    </row>
    <row r="150" spans="1:15">
      <c r="A150" s="74">
        <v>300159</v>
      </c>
      <c r="B150" s="44" t="s">
        <v>1107</v>
      </c>
      <c r="C150" s="44" t="s">
        <v>1213</v>
      </c>
      <c r="D150" s="44" t="s">
        <v>1214</v>
      </c>
      <c r="E150" s="44" t="s">
        <v>1215</v>
      </c>
      <c r="F150" s="44" t="s">
        <v>1216</v>
      </c>
      <c r="G150" s="44" t="s">
        <v>293</v>
      </c>
      <c r="H150" s="72" t="s">
        <v>294</v>
      </c>
      <c r="I150" s="44" t="s">
        <v>1217</v>
      </c>
      <c r="J150" s="72" t="s">
        <v>283</v>
      </c>
      <c r="K150" s="44" t="s">
        <v>1218</v>
      </c>
      <c r="L150" s="44" t="s">
        <v>1219</v>
      </c>
      <c r="M150" s="45" t="s">
        <v>247</v>
      </c>
      <c r="N150" s="66" t="s">
        <v>287</v>
      </c>
      <c r="O150" s="67" t="s">
        <v>139</v>
      </c>
    </row>
    <row r="151" spans="1:15">
      <c r="A151" s="74">
        <v>300160</v>
      </c>
      <c r="B151" s="44" t="s">
        <v>276</v>
      </c>
      <c r="C151" s="44" t="s">
        <v>1220</v>
      </c>
      <c r="D151" s="44" t="s">
        <v>1220</v>
      </c>
      <c r="E151" s="44" t="s">
        <v>1221</v>
      </c>
      <c r="F151" s="44" t="s">
        <v>1222</v>
      </c>
      <c r="G151" s="44" t="s">
        <v>293</v>
      </c>
      <c r="H151" s="72" t="s">
        <v>294</v>
      </c>
      <c r="I151" s="44" t="s">
        <v>1223</v>
      </c>
      <c r="J151" s="72" t="s">
        <v>283</v>
      </c>
      <c r="K151" s="44" t="s">
        <v>1224</v>
      </c>
      <c r="L151" s="44" t="s">
        <v>1225</v>
      </c>
      <c r="M151" s="45" t="s">
        <v>247</v>
      </c>
      <c r="N151" s="66" t="s">
        <v>287</v>
      </c>
      <c r="O151" s="67" t="s">
        <v>139</v>
      </c>
    </row>
    <row r="152" spans="1:15">
      <c r="A152" s="74">
        <v>300161</v>
      </c>
      <c r="B152" s="44" t="s">
        <v>276</v>
      </c>
      <c r="C152" s="44" t="s">
        <v>1226</v>
      </c>
      <c r="D152" s="44" t="s">
        <v>1226</v>
      </c>
      <c r="E152" s="44" t="s">
        <v>1227</v>
      </c>
      <c r="F152" s="44" t="s">
        <v>1228</v>
      </c>
      <c r="G152" s="44" t="s">
        <v>1229</v>
      </c>
      <c r="H152" s="72" t="s">
        <v>282</v>
      </c>
      <c r="I152" s="44" t="s">
        <v>1230</v>
      </c>
      <c r="J152" s="72" t="s">
        <v>283</v>
      </c>
      <c r="K152" s="44" t="s">
        <v>247</v>
      </c>
      <c r="L152" s="44" t="s">
        <v>1231</v>
      </c>
      <c r="M152" s="45" t="s">
        <v>247</v>
      </c>
      <c r="N152" s="66" t="s">
        <v>139</v>
      </c>
      <c r="O152" s="67" t="s">
        <v>287</v>
      </c>
    </row>
    <row r="153" spans="1:15">
      <c r="A153" s="75">
        <v>300162</v>
      </c>
      <c r="B153" s="44" t="s">
        <v>1232</v>
      </c>
      <c r="C153" s="44" t="s">
        <v>1233</v>
      </c>
      <c r="D153" s="44" t="s">
        <v>1233</v>
      </c>
      <c r="E153" s="44" t="s">
        <v>322</v>
      </c>
      <c r="F153" s="44" t="s">
        <v>247</v>
      </c>
      <c r="G153" s="44" t="s">
        <v>247</v>
      </c>
      <c r="H153" s="72" t="s">
        <v>247</v>
      </c>
      <c r="I153" s="44" t="s">
        <v>247</v>
      </c>
      <c r="J153" s="72" t="s">
        <v>283</v>
      </c>
      <c r="K153" s="44" t="s">
        <v>1234</v>
      </c>
      <c r="L153" s="44" t="s">
        <v>322</v>
      </c>
      <c r="M153" s="45" t="s">
        <v>247</v>
      </c>
      <c r="N153" s="66" t="s">
        <v>287</v>
      </c>
      <c r="O153" s="67" t="s">
        <v>287</v>
      </c>
    </row>
    <row r="154" spans="1:15">
      <c r="A154" s="75">
        <v>300163</v>
      </c>
      <c r="B154" s="44" t="s">
        <v>1235</v>
      </c>
      <c r="C154" s="44" t="s">
        <v>1236</v>
      </c>
      <c r="D154" s="44" t="s">
        <v>1236</v>
      </c>
      <c r="E154" s="44" t="s">
        <v>322</v>
      </c>
      <c r="F154" s="44" t="s">
        <v>247</v>
      </c>
      <c r="G154" s="44" t="s">
        <v>293</v>
      </c>
      <c r="H154" s="72" t="s">
        <v>294</v>
      </c>
      <c r="I154" s="44" t="s">
        <v>247</v>
      </c>
      <c r="J154" s="72" t="s">
        <v>283</v>
      </c>
      <c r="K154" s="44" t="s">
        <v>1237</v>
      </c>
      <c r="L154" s="44" t="s">
        <v>322</v>
      </c>
      <c r="M154" s="45" t="s">
        <v>247</v>
      </c>
      <c r="N154" s="66" t="s">
        <v>287</v>
      </c>
      <c r="O154" s="67" t="s">
        <v>139</v>
      </c>
    </row>
    <row r="155" spans="1:15">
      <c r="A155" s="75">
        <v>300164</v>
      </c>
      <c r="B155" s="44" t="s">
        <v>1238</v>
      </c>
      <c r="C155" s="44" t="s">
        <v>1239</v>
      </c>
      <c r="D155" s="44" t="s">
        <v>1239</v>
      </c>
      <c r="E155" s="44" t="s">
        <v>322</v>
      </c>
      <c r="F155" s="44" t="s">
        <v>247</v>
      </c>
      <c r="G155" s="44" t="s">
        <v>247</v>
      </c>
      <c r="H155" s="72" t="s">
        <v>247</v>
      </c>
      <c r="I155" s="44" t="s">
        <v>247</v>
      </c>
      <c r="J155" s="72" t="s">
        <v>283</v>
      </c>
      <c r="K155" s="44" t="s">
        <v>1240</v>
      </c>
      <c r="L155" s="44" t="s">
        <v>322</v>
      </c>
      <c r="M155" s="45" t="s">
        <v>247</v>
      </c>
      <c r="N155" s="66" t="s">
        <v>287</v>
      </c>
      <c r="O155" s="67" t="s">
        <v>287</v>
      </c>
    </row>
    <row r="156" spans="1:15">
      <c r="A156" s="75">
        <v>300165</v>
      </c>
      <c r="B156" s="44" t="s">
        <v>1241</v>
      </c>
      <c r="C156" s="44" t="s">
        <v>1242</v>
      </c>
      <c r="D156" s="44" t="s">
        <v>1242</v>
      </c>
      <c r="E156" s="44" t="s">
        <v>322</v>
      </c>
      <c r="F156" s="44" t="s">
        <v>247</v>
      </c>
      <c r="G156" s="44" t="s">
        <v>247</v>
      </c>
      <c r="H156" s="72" t="s">
        <v>247</v>
      </c>
      <c r="I156" s="44" t="s">
        <v>247</v>
      </c>
      <c r="J156" s="72" t="s">
        <v>283</v>
      </c>
      <c r="K156" s="44" t="s">
        <v>1243</v>
      </c>
      <c r="L156" s="44" t="s">
        <v>322</v>
      </c>
      <c r="M156" s="45" t="s">
        <v>247</v>
      </c>
      <c r="N156" s="66" t="s">
        <v>287</v>
      </c>
      <c r="O156" s="67" t="s">
        <v>287</v>
      </c>
    </row>
    <row r="157" spans="1:15">
      <c r="A157" s="75">
        <v>300166</v>
      </c>
      <c r="B157" s="44" t="s">
        <v>1244</v>
      </c>
      <c r="C157" s="44" t="s">
        <v>1245</v>
      </c>
      <c r="D157" s="44" t="s">
        <v>1245</v>
      </c>
      <c r="E157" s="44" t="s">
        <v>322</v>
      </c>
      <c r="F157" s="44" t="s">
        <v>247</v>
      </c>
      <c r="G157" s="44" t="s">
        <v>293</v>
      </c>
      <c r="H157" s="72" t="s">
        <v>294</v>
      </c>
      <c r="I157" s="44" t="s">
        <v>247</v>
      </c>
      <c r="J157" s="72" t="s">
        <v>283</v>
      </c>
      <c r="K157" s="44" t="s">
        <v>247</v>
      </c>
      <c r="L157" s="44" t="s">
        <v>322</v>
      </c>
      <c r="M157" s="45" t="s">
        <v>247</v>
      </c>
      <c r="N157" s="66" t="s">
        <v>287</v>
      </c>
      <c r="O157" s="67" t="s">
        <v>139</v>
      </c>
    </row>
    <row r="158" spans="1:15">
      <c r="A158" s="75">
        <v>300167</v>
      </c>
      <c r="B158" s="44" t="s">
        <v>1246</v>
      </c>
      <c r="C158" s="44" t="s">
        <v>1247</v>
      </c>
      <c r="D158" s="44" t="s">
        <v>1247</v>
      </c>
      <c r="E158" s="44" t="s">
        <v>322</v>
      </c>
      <c r="F158" s="44" t="s">
        <v>247</v>
      </c>
      <c r="G158" s="44" t="s">
        <v>247</v>
      </c>
      <c r="H158" s="72" t="s">
        <v>247</v>
      </c>
      <c r="I158" s="44" t="s">
        <v>247</v>
      </c>
      <c r="J158" s="72" t="s">
        <v>283</v>
      </c>
      <c r="K158" s="44" t="s">
        <v>1248</v>
      </c>
      <c r="L158" s="44" t="s">
        <v>322</v>
      </c>
      <c r="M158" s="45" t="s">
        <v>247</v>
      </c>
      <c r="N158" s="66" t="s">
        <v>287</v>
      </c>
      <c r="O158" s="67" t="s">
        <v>287</v>
      </c>
    </row>
    <row r="159" spans="1:15">
      <c r="A159" s="75">
        <v>300168</v>
      </c>
      <c r="B159" s="44" t="s">
        <v>339</v>
      </c>
      <c r="C159" s="44" t="s">
        <v>1249</v>
      </c>
      <c r="D159" s="44" t="s">
        <v>1249</v>
      </c>
      <c r="E159" s="44" t="s">
        <v>322</v>
      </c>
      <c r="F159" s="44" t="s">
        <v>247</v>
      </c>
      <c r="G159" s="44" t="s">
        <v>247</v>
      </c>
      <c r="H159" s="72" t="s">
        <v>247</v>
      </c>
      <c r="I159" s="44" t="s">
        <v>247</v>
      </c>
      <c r="J159" s="72" t="s">
        <v>283</v>
      </c>
      <c r="K159" s="44" t="s">
        <v>1250</v>
      </c>
      <c r="L159" s="44" t="s">
        <v>322</v>
      </c>
      <c r="M159" s="45" t="s">
        <v>247</v>
      </c>
      <c r="N159" s="66" t="s">
        <v>287</v>
      </c>
      <c r="O159" s="67" t="s">
        <v>287</v>
      </c>
    </row>
    <row r="160" spans="1:15">
      <c r="A160" s="75">
        <v>300169</v>
      </c>
      <c r="B160" s="44" t="s">
        <v>298</v>
      </c>
      <c r="C160" s="44" t="s">
        <v>1251</v>
      </c>
      <c r="D160" s="44" t="s">
        <v>1251</v>
      </c>
      <c r="E160" s="44" t="s">
        <v>322</v>
      </c>
      <c r="F160" s="44" t="s">
        <v>247</v>
      </c>
      <c r="G160" s="44" t="s">
        <v>247</v>
      </c>
      <c r="H160" s="72" t="s">
        <v>247</v>
      </c>
      <c r="I160" s="44" t="s">
        <v>247</v>
      </c>
      <c r="J160" s="72" t="s">
        <v>283</v>
      </c>
      <c r="K160" s="44" t="s">
        <v>1252</v>
      </c>
      <c r="L160" s="44" t="s">
        <v>322</v>
      </c>
      <c r="M160" s="45" t="s">
        <v>247</v>
      </c>
      <c r="N160" s="66" t="s">
        <v>287</v>
      </c>
      <c r="O160" s="67" t="s">
        <v>287</v>
      </c>
    </row>
    <row r="161" spans="1:15">
      <c r="A161" s="75">
        <v>300170</v>
      </c>
      <c r="B161" s="44" t="s">
        <v>1253</v>
      </c>
      <c r="C161" s="44" t="s">
        <v>1254</v>
      </c>
      <c r="D161" s="44" t="s">
        <v>1254</v>
      </c>
      <c r="E161" s="44" t="s">
        <v>322</v>
      </c>
      <c r="F161" s="44" t="s">
        <v>247</v>
      </c>
      <c r="G161" s="44" t="s">
        <v>247</v>
      </c>
      <c r="H161" s="72" t="s">
        <v>247</v>
      </c>
      <c r="I161" s="44" t="s">
        <v>247</v>
      </c>
      <c r="J161" s="72" t="s">
        <v>283</v>
      </c>
      <c r="K161" s="44" t="s">
        <v>1255</v>
      </c>
      <c r="L161" s="44" t="s">
        <v>322</v>
      </c>
      <c r="M161" s="45" t="s">
        <v>247</v>
      </c>
      <c r="N161" s="66" t="s">
        <v>287</v>
      </c>
      <c r="O161" s="67" t="s">
        <v>287</v>
      </c>
    </row>
    <row r="162" spans="1:15">
      <c r="A162" s="75">
        <v>300171</v>
      </c>
      <c r="B162" s="44" t="s">
        <v>276</v>
      </c>
      <c r="C162" s="44" t="s">
        <v>1256</v>
      </c>
      <c r="D162" s="44" t="s">
        <v>1256</v>
      </c>
      <c r="E162" s="44" t="s">
        <v>322</v>
      </c>
      <c r="F162" s="44" t="s">
        <v>247</v>
      </c>
      <c r="G162" s="44" t="s">
        <v>247</v>
      </c>
      <c r="H162" s="72" t="s">
        <v>247</v>
      </c>
      <c r="I162" s="44" t="s">
        <v>247</v>
      </c>
      <c r="J162" s="72" t="s">
        <v>283</v>
      </c>
      <c r="K162" s="44" t="s">
        <v>1257</v>
      </c>
      <c r="L162" s="44" t="s">
        <v>322</v>
      </c>
      <c r="M162" s="45" t="s">
        <v>247</v>
      </c>
      <c r="N162" s="66" t="s">
        <v>287</v>
      </c>
      <c r="O162" s="67" t="s">
        <v>287</v>
      </c>
    </row>
    <row r="163" spans="1:15">
      <c r="A163" s="75">
        <v>300172</v>
      </c>
      <c r="B163" s="44" t="s">
        <v>339</v>
      </c>
      <c r="C163" s="44" t="s">
        <v>1258</v>
      </c>
      <c r="D163" s="44" t="s">
        <v>1258</v>
      </c>
      <c r="E163" s="44" t="s">
        <v>322</v>
      </c>
      <c r="F163" s="44" t="s">
        <v>247</v>
      </c>
      <c r="G163" s="44" t="s">
        <v>247</v>
      </c>
      <c r="H163" s="72" t="s">
        <v>247</v>
      </c>
      <c r="I163" s="44" t="s">
        <v>247</v>
      </c>
      <c r="J163" s="72" t="s">
        <v>283</v>
      </c>
      <c r="K163" s="44" t="s">
        <v>1259</v>
      </c>
      <c r="L163" s="44" t="s">
        <v>322</v>
      </c>
      <c r="M163" s="45" t="s">
        <v>247</v>
      </c>
      <c r="N163" s="66" t="s">
        <v>287</v>
      </c>
      <c r="O163" s="67" t="s">
        <v>287</v>
      </c>
    </row>
    <row r="164" spans="1:15">
      <c r="A164" s="75">
        <v>300173</v>
      </c>
      <c r="B164" s="44" t="s">
        <v>1260</v>
      </c>
      <c r="C164" s="44" t="s">
        <v>1261</v>
      </c>
      <c r="D164" s="44" t="s">
        <v>1261</v>
      </c>
      <c r="E164" s="44" t="s">
        <v>322</v>
      </c>
      <c r="F164" s="44" t="s">
        <v>247</v>
      </c>
      <c r="G164" s="44" t="s">
        <v>247</v>
      </c>
      <c r="H164" s="72" t="s">
        <v>247</v>
      </c>
      <c r="I164" s="44" t="s">
        <v>247</v>
      </c>
      <c r="J164" s="72" t="s">
        <v>283</v>
      </c>
      <c r="K164" s="44" t="s">
        <v>1262</v>
      </c>
      <c r="L164" s="44" t="s">
        <v>322</v>
      </c>
      <c r="M164" s="45" t="s">
        <v>247</v>
      </c>
      <c r="N164" s="66" t="s">
        <v>287</v>
      </c>
      <c r="O164" s="67" t="s">
        <v>287</v>
      </c>
    </row>
    <row r="165" spans="1:15">
      <c r="A165" s="75">
        <v>300174</v>
      </c>
      <c r="B165" s="44" t="s">
        <v>276</v>
      </c>
      <c r="C165" s="44" t="s">
        <v>1263</v>
      </c>
      <c r="D165" s="44" t="s">
        <v>1263</v>
      </c>
      <c r="E165" s="44" t="s">
        <v>1264</v>
      </c>
      <c r="F165" s="44" t="s">
        <v>1265</v>
      </c>
      <c r="G165" s="44" t="s">
        <v>293</v>
      </c>
      <c r="H165" s="72" t="s">
        <v>294</v>
      </c>
      <c r="I165" s="44" t="s">
        <v>247</v>
      </c>
      <c r="J165" s="72" t="s">
        <v>283</v>
      </c>
      <c r="K165" s="44" t="s">
        <v>1266</v>
      </c>
      <c r="L165" s="44" t="s">
        <v>247</v>
      </c>
      <c r="M165" s="45" t="s">
        <v>247</v>
      </c>
      <c r="N165" s="66" t="s">
        <v>287</v>
      </c>
      <c r="O165" s="67" t="s">
        <v>139</v>
      </c>
    </row>
    <row r="166" spans="1:15">
      <c r="A166" s="75">
        <v>300175</v>
      </c>
      <c r="B166" s="44" t="s">
        <v>435</v>
      </c>
      <c r="C166" s="44" t="s">
        <v>1267</v>
      </c>
      <c r="D166" s="44" t="s">
        <v>1268</v>
      </c>
      <c r="E166" s="44" t="s">
        <v>1269</v>
      </c>
      <c r="F166" s="44" t="s">
        <v>1270</v>
      </c>
      <c r="G166" s="44" t="s">
        <v>293</v>
      </c>
      <c r="H166" s="72" t="s">
        <v>294</v>
      </c>
      <c r="I166" s="44" t="s">
        <v>247</v>
      </c>
      <c r="J166" s="72" t="s">
        <v>283</v>
      </c>
      <c r="K166" s="44" t="s">
        <v>1271</v>
      </c>
      <c r="L166" s="44" t="s">
        <v>247</v>
      </c>
      <c r="M166" s="45" t="s">
        <v>247</v>
      </c>
      <c r="N166" s="66" t="s">
        <v>287</v>
      </c>
      <c r="O166" s="67" t="s">
        <v>139</v>
      </c>
    </row>
    <row r="167" spans="1:15">
      <c r="A167" s="75">
        <v>300176</v>
      </c>
      <c r="B167" s="44" t="s">
        <v>1107</v>
      </c>
      <c r="C167" s="44" t="s">
        <v>1272</v>
      </c>
      <c r="D167" s="44" t="s">
        <v>1272</v>
      </c>
      <c r="E167" s="44" t="s">
        <v>1273</v>
      </c>
      <c r="F167" s="44" t="s">
        <v>247</v>
      </c>
      <c r="G167" s="44" t="s">
        <v>293</v>
      </c>
      <c r="H167" s="72" t="s">
        <v>247</v>
      </c>
      <c r="I167" s="44" t="s">
        <v>247</v>
      </c>
      <c r="J167" s="72" t="s">
        <v>283</v>
      </c>
      <c r="K167" s="44" t="s">
        <v>1274</v>
      </c>
      <c r="L167" s="44" t="s">
        <v>247</v>
      </c>
      <c r="M167" s="45" t="s">
        <v>247</v>
      </c>
      <c r="N167" s="66" t="s">
        <v>287</v>
      </c>
      <c r="O167" s="67" t="s">
        <v>139</v>
      </c>
    </row>
    <row r="168" spans="1:15">
      <c r="A168" s="75">
        <v>300177</v>
      </c>
      <c r="B168" s="44" t="s">
        <v>1275</v>
      </c>
      <c r="C168" s="44" t="s">
        <v>1276</v>
      </c>
      <c r="D168" s="44" t="s">
        <v>1276</v>
      </c>
      <c r="E168" s="44" t="s">
        <v>1277</v>
      </c>
      <c r="F168" s="44" t="s">
        <v>1278</v>
      </c>
      <c r="G168" s="44" t="s">
        <v>293</v>
      </c>
      <c r="H168" s="72" t="s">
        <v>294</v>
      </c>
      <c r="I168" s="44" t="s">
        <v>247</v>
      </c>
      <c r="J168" s="72" t="s">
        <v>283</v>
      </c>
      <c r="K168" s="44" t="s">
        <v>1279</v>
      </c>
      <c r="L168" s="44" t="s">
        <v>247</v>
      </c>
      <c r="M168" s="45" t="s">
        <v>247</v>
      </c>
      <c r="N168" s="66" t="s">
        <v>287</v>
      </c>
      <c r="O168" s="67" t="s">
        <v>139</v>
      </c>
    </row>
    <row r="169" spans="1:15">
      <c r="A169" s="75">
        <v>300178</v>
      </c>
      <c r="B169" s="44" t="s">
        <v>1275</v>
      </c>
      <c r="C169" s="44" t="s">
        <v>1280</v>
      </c>
      <c r="D169" s="44" t="s">
        <v>1280</v>
      </c>
      <c r="E169" s="44" t="s">
        <v>1281</v>
      </c>
      <c r="F169" s="44" t="s">
        <v>1282</v>
      </c>
      <c r="G169" s="44" t="s">
        <v>293</v>
      </c>
      <c r="H169" s="72" t="s">
        <v>294</v>
      </c>
      <c r="I169" s="44" t="s">
        <v>247</v>
      </c>
      <c r="J169" s="72" t="s">
        <v>283</v>
      </c>
      <c r="K169" s="44" t="s">
        <v>1283</v>
      </c>
      <c r="L169" s="44" t="s">
        <v>247</v>
      </c>
      <c r="M169" s="45" t="s">
        <v>247</v>
      </c>
      <c r="N169" s="66" t="s">
        <v>287</v>
      </c>
      <c r="O169" s="67" t="s">
        <v>139</v>
      </c>
    </row>
    <row r="170" spans="1:15">
      <c r="A170" s="75">
        <v>300179</v>
      </c>
      <c r="B170" s="44" t="s">
        <v>1235</v>
      </c>
      <c r="C170" s="44" t="s">
        <v>1284</v>
      </c>
      <c r="D170" s="44" t="s">
        <v>1284</v>
      </c>
      <c r="E170" s="44" t="s">
        <v>1285</v>
      </c>
      <c r="F170" s="44" t="s">
        <v>1286</v>
      </c>
      <c r="G170" s="44" t="s">
        <v>293</v>
      </c>
      <c r="H170" s="72" t="s">
        <v>294</v>
      </c>
      <c r="I170" s="44" t="s">
        <v>247</v>
      </c>
      <c r="J170" s="72" t="s">
        <v>283</v>
      </c>
      <c r="K170" s="44" t="s">
        <v>1287</v>
      </c>
      <c r="L170" s="44" t="s">
        <v>1288</v>
      </c>
      <c r="M170" s="45" t="s">
        <v>1289</v>
      </c>
      <c r="N170" s="66" t="s">
        <v>287</v>
      </c>
      <c r="O170" s="67" t="s">
        <v>139</v>
      </c>
    </row>
    <row r="171" spans="1:15">
      <c r="A171" s="75">
        <v>300180</v>
      </c>
      <c r="B171" s="44" t="s">
        <v>1275</v>
      </c>
      <c r="C171" s="44" t="s">
        <v>1290</v>
      </c>
      <c r="D171" s="44" t="s">
        <v>1290</v>
      </c>
      <c r="E171" s="44" t="s">
        <v>1291</v>
      </c>
      <c r="F171" s="44" t="s">
        <v>1292</v>
      </c>
      <c r="G171" s="44" t="s">
        <v>293</v>
      </c>
      <c r="H171" s="72" t="s">
        <v>294</v>
      </c>
      <c r="I171" s="44" t="s">
        <v>247</v>
      </c>
      <c r="J171" s="72" t="s">
        <v>283</v>
      </c>
      <c r="K171" s="44" t="s">
        <v>1293</v>
      </c>
      <c r="L171" s="44" t="s">
        <v>1294</v>
      </c>
      <c r="M171" s="45" t="s">
        <v>1295</v>
      </c>
      <c r="N171" s="66" t="s">
        <v>287</v>
      </c>
      <c r="O171" s="67" t="s">
        <v>139</v>
      </c>
    </row>
    <row r="172" spans="1:15">
      <c r="A172" s="75">
        <v>300181</v>
      </c>
      <c r="B172" s="44" t="s">
        <v>380</v>
      </c>
      <c r="C172" s="44" t="s">
        <v>1296</v>
      </c>
      <c r="D172" s="44" t="s">
        <v>1297</v>
      </c>
      <c r="E172" s="44" t="s">
        <v>1298</v>
      </c>
      <c r="F172" s="44" t="s">
        <v>1299</v>
      </c>
      <c r="G172" s="44" t="s">
        <v>293</v>
      </c>
      <c r="H172" s="72" t="s">
        <v>294</v>
      </c>
      <c r="I172" s="44" t="s">
        <v>247</v>
      </c>
      <c r="J172" s="72" t="s">
        <v>283</v>
      </c>
      <c r="K172" s="44" t="s">
        <v>1300</v>
      </c>
      <c r="L172" s="44" t="s">
        <v>1301</v>
      </c>
      <c r="M172" s="45" t="s">
        <v>1302</v>
      </c>
      <c r="N172" s="66" t="s">
        <v>287</v>
      </c>
      <c r="O172" s="67" t="s">
        <v>139</v>
      </c>
    </row>
    <row r="173" spans="1:15">
      <c r="A173" s="75">
        <v>300182</v>
      </c>
      <c r="B173" s="44" t="s">
        <v>1235</v>
      </c>
      <c r="C173" s="44" t="s">
        <v>1303</v>
      </c>
      <c r="D173" s="44" t="s">
        <v>1303</v>
      </c>
      <c r="E173" s="44" t="s">
        <v>1304</v>
      </c>
      <c r="F173" s="44" t="s">
        <v>1305</v>
      </c>
      <c r="G173" s="44" t="s">
        <v>293</v>
      </c>
      <c r="H173" s="72" t="s">
        <v>294</v>
      </c>
      <c r="I173" s="44" t="s">
        <v>247</v>
      </c>
      <c r="J173" s="72" t="s">
        <v>283</v>
      </c>
      <c r="K173" s="44" t="s">
        <v>247</v>
      </c>
      <c r="L173" s="44" t="s">
        <v>1306</v>
      </c>
      <c r="M173" s="45" t="s">
        <v>1307</v>
      </c>
      <c r="N173" s="66" t="s">
        <v>287</v>
      </c>
      <c r="O173" s="67" t="s">
        <v>139</v>
      </c>
    </row>
    <row r="174" spans="1:15">
      <c r="A174" s="75">
        <v>300183</v>
      </c>
      <c r="B174" s="44" t="s">
        <v>1235</v>
      </c>
      <c r="C174" s="44" t="s">
        <v>1308</v>
      </c>
      <c r="D174" s="44" t="s">
        <v>1308</v>
      </c>
      <c r="E174" s="44" t="s">
        <v>1309</v>
      </c>
      <c r="F174" s="44" t="s">
        <v>1310</v>
      </c>
      <c r="G174" s="44" t="s">
        <v>293</v>
      </c>
      <c r="H174" s="72" t="s">
        <v>294</v>
      </c>
      <c r="I174" s="44" t="s">
        <v>247</v>
      </c>
      <c r="J174" s="72" t="s">
        <v>283</v>
      </c>
      <c r="K174" s="44" t="s">
        <v>1311</v>
      </c>
      <c r="L174" s="44" t="s">
        <v>1312</v>
      </c>
      <c r="M174" s="45" t="s">
        <v>1313</v>
      </c>
      <c r="N174" s="66" t="s">
        <v>287</v>
      </c>
      <c r="O174" s="67" t="s">
        <v>139</v>
      </c>
    </row>
    <row r="175" spans="1:15">
      <c r="A175" s="75">
        <v>300184</v>
      </c>
      <c r="B175" s="44" t="s">
        <v>364</v>
      </c>
      <c r="C175" s="44" t="s">
        <v>1314</v>
      </c>
      <c r="D175" s="44" t="s">
        <v>1314</v>
      </c>
      <c r="E175" s="44" t="s">
        <v>754</v>
      </c>
      <c r="F175" s="44" t="s">
        <v>247</v>
      </c>
      <c r="G175" s="44" t="s">
        <v>293</v>
      </c>
      <c r="H175" s="72" t="s">
        <v>294</v>
      </c>
      <c r="I175" s="44" t="s">
        <v>247</v>
      </c>
      <c r="J175" s="72" t="s">
        <v>283</v>
      </c>
      <c r="K175" s="44" t="s">
        <v>756</v>
      </c>
      <c r="L175" s="44" t="s">
        <v>1315</v>
      </c>
      <c r="M175" s="45" t="s">
        <v>1316</v>
      </c>
      <c r="N175" s="66" t="s">
        <v>287</v>
      </c>
      <c r="O175" s="67" t="s">
        <v>139</v>
      </c>
    </row>
    <row r="176" spans="1:15">
      <c r="A176" s="75">
        <v>300185</v>
      </c>
      <c r="B176" s="44" t="s">
        <v>1235</v>
      </c>
      <c r="C176" s="44" t="s">
        <v>1317</v>
      </c>
      <c r="D176" s="44" t="s">
        <v>1317</v>
      </c>
      <c r="E176" s="44" t="s">
        <v>1318</v>
      </c>
      <c r="F176" s="55" t="s">
        <v>1319</v>
      </c>
      <c r="G176" s="43" t="s">
        <v>293</v>
      </c>
      <c r="H176" s="72" t="s">
        <v>294</v>
      </c>
      <c r="I176" s="44" t="s">
        <v>247</v>
      </c>
      <c r="J176" s="72" t="s">
        <v>283</v>
      </c>
      <c r="K176" s="44" t="s">
        <v>1320</v>
      </c>
      <c r="L176" s="56" t="s">
        <v>1321</v>
      </c>
      <c r="M176" s="45" t="s">
        <v>1322</v>
      </c>
      <c r="N176" s="66" t="s">
        <v>287</v>
      </c>
      <c r="O176" s="67" t="s">
        <v>139</v>
      </c>
    </row>
    <row r="177" spans="1:15">
      <c r="A177" s="75">
        <v>300186</v>
      </c>
      <c r="B177" s="44" t="s">
        <v>276</v>
      </c>
      <c r="C177" s="44" t="s">
        <v>1323</v>
      </c>
      <c r="D177" s="44" t="s">
        <v>1323</v>
      </c>
      <c r="E177" s="44" t="s">
        <v>1324</v>
      </c>
      <c r="F177" s="50" t="s">
        <v>1325</v>
      </c>
      <c r="G177" s="44" t="s">
        <v>293</v>
      </c>
      <c r="H177" s="72" t="s">
        <v>294</v>
      </c>
      <c r="I177" s="44" t="s">
        <v>247</v>
      </c>
      <c r="J177" s="72" t="s">
        <v>283</v>
      </c>
      <c r="K177" s="44" t="s">
        <v>1326</v>
      </c>
      <c r="L177" s="44" t="s">
        <v>1327</v>
      </c>
      <c r="M177" s="45" t="s">
        <v>1328</v>
      </c>
      <c r="N177" s="66" t="s">
        <v>287</v>
      </c>
      <c r="O177" s="67" t="s">
        <v>139</v>
      </c>
    </row>
    <row r="178" spans="1:15">
      <c r="A178" s="75">
        <v>300187</v>
      </c>
      <c r="B178" s="44" t="s">
        <v>1235</v>
      </c>
      <c r="C178" s="44" t="s">
        <v>1329</v>
      </c>
      <c r="D178" s="44" t="s">
        <v>1330</v>
      </c>
      <c r="E178" s="44" t="s">
        <v>1331</v>
      </c>
      <c r="F178" s="44" t="s">
        <v>1332</v>
      </c>
      <c r="G178" s="44" t="s">
        <v>293</v>
      </c>
      <c r="H178" s="72" t="s">
        <v>294</v>
      </c>
      <c r="I178" s="44" t="s">
        <v>247</v>
      </c>
      <c r="J178" s="72" t="s">
        <v>283</v>
      </c>
      <c r="K178" s="44" t="s">
        <v>1333</v>
      </c>
      <c r="L178" s="44" t="s">
        <v>1334</v>
      </c>
      <c r="M178" s="45" t="s">
        <v>1335</v>
      </c>
      <c r="N178" s="66" t="s">
        <v>287</v>
      </c>
      <c r="O178" s="67" t="s">
        <v>139</v>
      </c>
    </row>
    <row r="179" spans="1:15">
      <c r="A179" s="75">
        <v>300188</v>
      </c>
      <c r="B179" s="44" t="s">
        <v>758</v>
      </c>
      <c r="C179" s="44" t="s">
        <v>1336</v>
      </c>
      <c r="D179" s="44" t="s">
        <v>1337</v>
      </c>
      <c r="E179" s="44" t="s">
        <v>1338</v>
      </c>
      <c r="F179" s="44" t="s">
        <v>1339</v>
      </c>
      <c r="G179" s="44" t="s">
        <v>293</v>
      </c>
      <c r="H179" s="72" t="s">
        <v>294</v>
      </c>
      <c r="I179" s="44" t="s">
        <v>247</v>
      </c>
      <c r="J179" s="72" t="s">
        <v>283</v>
      </c>
      <c r="K179" s="44" t="s">
        <v>1340</v>
      </c>
      <c r="L179" s="44" t="s">
        <v>247</v>
      </c>
      <c r="M179" s="23" t="s">
        <v>1341</v>
      </c>
      <c r="N179" s="66" t="s">
        <v>287</v>
      </c>
      <c r="O179" s="67" t="s">
        <v>139</v>
      </c>
    </row>
    <row r="180" spans="1:15">
      <c r="A180" s="75">
        <v>300189</v>
      </c>
      <c r="B180" s="44" t="s">
        <v>758</v>
      </c>
      <c r="C180" s="44" t="s">
        <v>1342</v>
      </c>
      <c r="D180" s="44" t="s">
        <v>1343</v>
      </c>
      <c r="E180" s="44" t="s">
        <v>1344</v>
      </c>
      <c r="F180" s="44" t="s">
        <v>1345</v>
      </c>
      <c r="G180" s="44" t="s">
        <v>293</v>
      </c>
      <c r="H180" s="72" t="s">
        <v>294</v>
      </c>
      <c r="I180" s="44" t="s">
        <v>247</v>
      </c>
      <c r="J180" s="72" t="s">
        <v>283</v>
      </c>
      <c r="K180" s="44" t="s">
        <v>1346</v>
      </c>
      <c r="L180" s="44" t="s">
        <v>1347</v>
      </c>
      <c r="M180" s="51" t="s">
        <v>247</v>
      </c>
      <c r="N180" s="66" t="s">
        <v>287</v>
      </c>
      <c r="O180" s="67" t="s">
        <v>139</v>
      </c>
    </row>
    <row r="181" spans="1:15">
      <c r="A181" s="75">
        <v>300190</v>
      </c>
      <c r="B181" s="44" t="s">
        <v>758</v>
      </c>
      <c r="C181" s="44" t="s">
        <v>1348</v>
      </c>
      <c r="D181" s="44" t="s">
        <v>1349</v>
      </c>
      <c r="E181" s="44" t="s">
        <v>1350</v>
      </c>
      <c r="F181" s="44" t="s">
        <v>1351</v>
      </c>
      <c r="G181" s="44" t="s">
        <v>1352</v>
      </c>
      <c r="H181" s="72" t="s">
        <v>294</v>
      </c>
      <c r="I181" s="44" t="s">
        <v>247</v>
      </c>
      <c r="J181" s="72" t="s">
        <v>283</v>
      </c>
      <c r="K181" s="44" t="s">
        <v>1353</v>
      </c>
      <c r="L181" s="44" t="s">
        <v>1354</v>
      </c>
      <c r="M181" s="44" t="s">
        <v>247</v>
      </c>
      <c r="N181" s="68" t="s">
        <v>287</v>
      </c>
      <c r="O181" s="69" t="s">
        <v>139</v>
      </c>
    </row>
    <row r="182" spans="1:15">
      <c r="A182" s="75">
        <v>300191</v>
      </c>
      <c r="B182" s="44" t="s">
        <v>364</v>
      </c>
      <c r="C182" s="44" t="s">
        <v>1355</v>
      </c>
      <c r="D182" s="44" t="s">
        <v>1355</v>
      </c>
      <c r="E182" s="44" t="s">
        <v>1356</v>
      </c>
      <c r="F182" s="44" t="s">
        <v>1357</v>
      </c>
      <c r="G182" s="44" t="s">
        <v>293</v>
      </c>
      <c r="H182" s="72" t="s">
        <v>294</v>
      </c>
      <c r="I182" s="44" t="s">
        <v>247</v>
      </c>
      <c r="J182" s="72" t="s">
        <v>283</v>
      </c>
      <c r="K182" s="44" t="s">
        <v>1358</v>
      </c>
      <c r="L182" s="44" t="s">
        <v>1359</v>
      </c>
      <c r="M182" s="44" t="s">
        <v>247</v>
      </c>
      <c r="N182" s="68" t="s">
        <v>287</v>
      </c>
      <c r="O182" s="69" t="s">
        <v>139</v>
      </c>
    </row>
    <row r="183" spans="1:15">
      <c r="A183" s="75">
        <v>300192</v>
      </c>
      <c r="B183" s="44" t="s">
        <v>435</v>
      </c>
      <c r="C183" s="44" t="s">
        <v>1360</v>
      </c>
      <c r="D183" s="44" t="s">
        <v>1361</v>
      </c>
      <c r="E183" s="44" t="s">
        <v>1362</v>
      </c>
      <c r="F183" s="44" t="s">
        <v>1363</v>
      </c>
      <c r="G183" s="44" t="s">
        <v>293</v>
      </c>
      <c r="H183" s="72" t="s">
        <v>294</v>
      </c>
      <c r="I183" s="44" t="s">
        <v>247</v>
      </c>
      <c r="J183" s="72" t="s">
        <v>283</v>
      </c>
      <c r="K183" s="44" t="s">
        <v>1364</v>
      </c>
      <c r="L183" s="44" t="s">
        <v>1365</v>
      </c>
      <c r="M183" s="44" t="s">
        <v>247</v>
      </c>
      <c r="N183" s="68" t="s">
        <v>287</v>
      </c>
      <c r="O183" s="69" t="s">
        <v>139</v>
      </c>
    </row>
  </sheetData>
  <autoFilter ref="A1:O183" xr:uid="{E385D49D-4ECA-44BF-8A07-02F08FF03572}"/>
  <hyperlinks>
    <hyperlink ref="M97" r:id="rId1" xr:uid="{79D0CBF9-70D6-4EB6-BAFA-A658AE81A79C}"/>
    <hyperlink ref="M98" r:id="rId2" xr:uid="{F8B1C00A-6992-4C1E-9DFF-0BD3B82548B5}"/>
    <hyperlink ref="M99" r:id="rId3" xr:uid="{642FA043-C0C4-425E-A7FC-F4EFDCB2843F}"/>
    <hyperlink ref="L176" r:id="rId4" xr:uid="{627E7570-6EE4-434C-81A5-94E76C9EEFA2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EF0EE-3742-421B-8E52-7FB994FE3FFB}">
  <dimension ref="A1:F21"/>
  <sheetViews>
    <sheetView workbookViewId="0">
      <selection activeCell="D20" sqref="D20:D21"/>
    </sheetView>
  </sheetViews>
  <sheetFormatPr defaultRowHeight="14.45"/>
  <cols>
    <col min="1" max="1" width="10.42578125" customWidth="1"/>
    <col min="2" max="2" width="9.5703125" bestFit="1" customWidth="1"/>
    <col min="3" max="3" width="7.7109375" bestFit="1" customWidth="1"/>
    <col min="4" max="4" width="16" bestFit="1" customWidth="1"/>
    <col min="5" max="5" width="9.42578125" bestFit="1" customWidth="1"/>
    <col min="6" max="6" width="11.42578125" bestFit="1" customWidth="1"/>
  </cols>
  <sheetData>
    <row r="1" spans="1:6">
      <c r="A1" s="78" t="s">
        <v>257</v>
      </c>
      <c r="B1" s="78" t="s">
        <v>1366</v>
      </c>
      <c r="C1" s="78" t="s">
        <v>1367</v>
      </c>
      <c r="D1" s="78" t="s">
        <v>1368</v>
      </c>
      <c r="E1" s="78" t="s">
        <v>1369</v>
      </c>
      <c r="F1" s="78" t="s">
        <v>1370</v>
      </c>
    </row>
    <row r="2" spans="1:6">
      <c r="A2">
        <v>2026</v>
      </c>
      <c r="B2" t="s">
        <v>233</v>
      </c>
      <c r="C2">
        <v>1</v>
      </c>
      <c r="D2" t="s">
        <v>1371</v>
      </c>
      <c r="E2" t="s">
        <v>246</v>
      </c>
      <c r="F2">
        <v>79</v>
      </c>
    </row>
    <row r="3" spans="1:6">
      <c r="A3">
        <v>2026</v>
      </c>
      <c r="B3" t="s">
        <v>233</v>
      </c>
      <c r="C3">
        <v>1</v>
      </c>
      <c r="D3" t="s">
        <v>1371</v>
      </c>
      <c r="E3" t="s">
        <v>120</v>
      </c>
      <c r="F3">
        <v>56</v>
      </c>
    </row>
    <row r="4" spans="1:6">
      <c r="A4">
        <v>2026</v>
      </c>
      <c r="B4" t="s">
        <v>233</v>
      </c>
      <c r="C4">
        <v>1</v>
      </c>
      <c r="D4" t="s">
        <v>1372</v>
      </c>
      <c r="E4" t="s">
        <v>246</v>
      </c>
      <c r="F4">
        <v>33</v>
      </c>
    </row>
    <row r="5" spans="1:6">
      <c r="A5">
        <v>2026</v>
      </c>
      <c r="B5" t="s">
        <v>233</v>
      </c>
      <c r="C5">
        <v>1</v>
      </c>
      <c r="D5" t="s">
        <v>1372</v>
      </c>
      <c r="E5" t="s">
        <v>120</v>
      </c>
      <c r="F5">
        <v>45</v>
      </c>
    </row>
    <row r="6" spans="1:6">
      <c r="A6">
        <v>2026</v>
      </c>
      <c r="B6" t="s">
        <v>234</v>
      </c>
      <c r="C6">
        <v>2</v>
      </c>
      <c r="D6" t="s">
        <v>1371</v>
      </c>
      <c r="E6" t="s">
        <v>246</v>
      </c>
      <c r="F6">
        <v>70</v>
      </c>
    </row>
    <row r="7" spans="1:6">
      <c r="A7">
        <v>2026</v>
      </c>
      <c r="B7" t="s">
        <v>234</v>
      </c>
      <c r="C7">
        <v>2</v>
      </c>
      <c r="D7" t="s">
        <v>1371</v>
      </c>
      <c r="E7" t="s">
        <v>120</v>
      </c>
      <c r="F7">
        <v>48</v>
      </c>
    </row>
    <row r="8" spans="1:6">
      <c r="A8">
        <v>2026</v>
      </c>
      <c r="B8" t="s">
        <v>234</v>
      </c>
      <c r="C8">
        <v>2</v>
      </c>
      <c r="D8" t="s">
        <v>1372</v>
      </c>
      <c r="E8" t="s">
        <v>246</v>
      </c>
      <c r="F8">
        <v>30</v>
      </c>
    </row>
    <row r="9" spans="1:6">
      <c r="A9">
        <v>2026</v>
      </c>
      <c r="B9" t="s">
        <v>234</v>
      </c>
      <c r="C9">
        <v>2</v>
      </c>
      <c r="D9" t="s">
        <v>1372</v>
      </c>
      <c r="E9" t="s">
        <v>120</v>
      </c>
      <c r="F9">
        <v>36</v>
      </c>
    </row>
    <row r="10" spans="1:6">
      <c r="A10">
        <v>2026</v>
      </c>
      <c r="B10" t="s">
        <v>235</v>
      </c>
      <c r="C10">
        <v>3</v>
      </c>
      <c r="D10" t="s">
        <v>1371</v>
      </c>
      <c r="E10" t="s">
        <v>246</v>
      </c>
      <c r="F10">
        <v>109</v>
      </c>
    </row>
    <row r="11" spans="1:6">
      <c r="A11">
        <v>2026</v>
      </c>
      <c r="B11" t="s">
        <v>235</v>
      </c>
      <c r="C11">
        <v>3</v>
      </c>
      <c r="D11" t="s">
        <v>1371</v>
      </c>
      <c r="E11" t="s">
        <v>120</v>
      </c>
      <c r="F11">
        <v>76</v>
      </c>
    </row>
    <row r="12" spans="1:6">
      <c r="A12">
        <v>2026</v>
      </c>
      <c r="B12" t="s">
        <v>235</v>
      </c>
      <c r="C12">
        <v>3</v>
      </c>
      <c r="D12" t="s">
        <v>1372</v>
      </c>
      <c r="E12" t="s">
        <v>246</v>
      </c>
      <c r="F12">
        <v>57</v>
      </c>
    </row>
    <row r="13" spans="1:6">
      <c r="A13">
        <v>2026</v>
      </c>
      <c r="B13" t="s">
        <v>235</v>
      </c>
      <c r="C13">
        <v>3</v>
      </c>
      <c r="D13" t="s">
        <v>1372</v>
      </c>
      <c r="E13" t="s">
        <v>120</v>
      </c>
      <c r="F13">
        <v>59</v>
      </c>
    </row>
    <row r="14" spans="1:6">
      <c r="A14">
        <v>2026</v>
      </c>
      <c r="B14" t="s">
        <v>236</v>
      </c>
      <c r="C14">
        <v>4</v>
      </c>
      <c r="D14" t="s">
        <v>1371</v>
      </c>
      <c r="E14" t="s">
        <v>246</v>
      </c>
      <c r="F14">
        <v>115</v>
      </c>
    </row>
    <row r="15" spans="1:6">
      <c r="A15">
        <v>2026</v>
      </c>
      <c r="B15" t="s">
        <v>236</v>
      </c>
      <c r="C15">
        <v>4</v>
      </c>
      <c r="D15" t="s">
        <v>1371</v>
      </c>
      <c r="E15" t="s">
        <v>120</v>
      </c>
      <c r="F15">
        <v>75</v>
      </c>
    </row>
    <row r="16" spans="1:6">
      <c r="A16">
        <v>2026</v>
      </c>
      <c r="B16" t="s">
        <v>236</v>
      </c>
      <c r="C16">
        <v>4</v>
      </c>
      <c r="D16" t="s">
        <v>1372</v>
      </c>
      <c r="E16" t="s">
        <v>246</v>
      </c>
      <c r="F16">
        <v>56</v>
      </c>
    </row>
    <row r="17" spans="1:6">
      <c r="A17">
        <v>2026</v>
      </c>
      <c r="B17" t="s">
        <v>236</v>
      </c>
      <c r="C17">
        <v>4</v>
      </c>
      <c r="D17" t="s">
        <v>1372</v>
      </c>
      <c r="E17" t="s">
        <v>120</v>
      </c>
      <c r="F17">
        <v>53</v>
      </c>
    </row>
    <row r="18" spans="1:6">
      <c r="A18">
        <v>2026</v>
      </c>
      <c r="B18" t="s">
        <v>237</v>
      </c>
      <c r="C18">
        <v>5</v>
      </c>
      <c r="D18" t="s">
        <v>1371</v>
      </c>
      <c r="E18" t="s">
        <v>246</v>
      </c>
      <c r="F18">
        <v>147</v>
      </c>
    </row>
    <row r="19" spans="1:6">
      <c r="A19">
        <v>2026</v>
      </c>
      <c r="B19" t="s">
        <v>237</v>
      </c>
      <c r="C19">
        <v>5</v>
      </c>
      <c r="D19" t="s">
        <v>1371</v>
      </c>
      <c r="E19" t="s">
        <v>120</v>
      </c>
      <c r="F19">
        <v>37</v>
      </c>
    </row>
    <row r="20" spans="1:6">
      <c r="A20">
        <v>2026</v>
      </c>
      <c r="B20" t="s">
        <v>237</v>
      </c>
      <c r="C20">
        <v>5</v>
      </c>
      <c r="D20" t="s">
        <v>1372</v>
      </c>
      <c r="E20" t="s">
        <v>246</v>
      </c>
      <c r="F20">
        <v>83</v>
      </c>
    </row>
    <row r="21" spans="1:6">
      <c r="A21">
        <v>2026</v>
      </c>
      <c r="B21" t="s">
        <v>237</v>
      </c>
      <c r="C21">
        <v>5</v>
      </c>
      <c r="D21" t="s">
        <v>1372</v>
      </c>
      <c r="E21" t="s">
        <v>120</v>
      </c>
      <c r="F21">
        <v>19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EBDA0-F6BF-4802-A50E-F2FB9B2E74C5}">
  <dimension ref="A1:D4"/>
  <sheetViews>
    <sheetView workbookViewId="0">
      <selection activeCell="D5" sqref="D5"/>
    </sheetView>
  </sheetViews>
  <sheetFormatPr defaultRowHeight="14.45"/>
  <cols>
    <col min="1" max="1" width="7.28515625" customWidth="1"/>
    <col min="2" max="2" width="19.5703125" bestFit="1" customWidth="1"/>
    <col min="3" max="3" width="20.5703125" bestFit="1" customWidth="1"/>
  </cols>
  <sheetData>
    <row r="1" spans="1:4">
      <c r="A1" s="79" t="s">
        <v>257</v>
      </c>
      <c r="B1" s="79" t="s">
        <v>1373</v>
      </c>
      <c r="C1" s="79" t="s">
        <v>1374</v>
      </c>
    </row>
    <row r="2" spans="1:4">
      <c r="A2" s="1">
        <v>2024</v>
      </c>
      <c r="B2" s="1">
        <v>464</v>
      </c>
      <c r="C2" s="1">
        <v>0</v>
      </c>
      <c r="D2">
        <f>SUM(B2:C2)</f>
        <v>464</v>
      </c>
    </row>
    <row r="3" spans="1:4">
      <c r="A3" s="1">
        <v>2025</v>
      </c>
      <c r="B3" s="1">
        <v>598</v>
      </c>
      <c r="C3" s="1">
        <v>94</v>
      </c>
      <c r="D3">
        <f>SUM(B3:C3)</f>
        <v>692</v>
      </c>
    </row>
    <row r="4" spans="1:4">
      <c r="A4" s="1">
        <v>2026</v>
      </c>
      <c r="B4" s="1">
        <v>251</v>
      </c>
      <c r="C4" s="1">
        <v>170</v>
      </c>
      <c r="D4">
        <f>SUM(B4:C4)</f>
        <v>421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9"/>
  <sheetViews>
    <sheetView workbookViewId="0">
      <selection activeCell="G19" sqref="G19"/>
    </sheetView>
  </sheetViews>
  <sheetFormatPr defaultRowHeight="14.45"/>
  <cols>
    <col min="2" max="2" width="27.42578125" customWidth="1"/>
    <col min="3" max="3" width="5.85546875" customWidth="1"/>
    <col min="4" max="4" width="18.140625" customWidth="1"/>
    <col min="5" max="5" width="11.5703125" customWidth="1"/>
    <col min="6" max="6" width="25.5703125" bestFit="1" customWidth="1"/>
  </cols>
  <sheetData>
    <row r="1" spans="1:7">
      <c r="A1" t="s">
        <v>28</v>
      </c>
      <c r="B1" t="s">
        <v>29</v>
      </c>
      <c r="C1">
        <v>3</v>
      </c>
      <c r="D1" t="s">
        <v>25</v>
      </c>
      <c r="F1" s="12" t="s">
        <v>26</v>
      </c>
      <c r="G1" s="12"/>
    </row>
    <row r="2" spans="1:7">
      <c r="A2" t="s">
        <v>39</v>
      </c>
      <c r="B2" t="s">
        <v>46</v>
      </c>
      <c r="C2">
        <v>8</v>
      </c>
      <c r="D2" t="s">
        <v>36</v>
      </c>
      <c r="F2" s="12" t="s">
        <v>120</v>
      </c>
      <c r="G2" s="12"/>
    </row>
    <row r="3" spans="1:7">
      <c r="B3" t="s">
        <v>83</v>
      </c>
      <c r="C3">
        <v>5</v>
      </c>
      <c r="D3" t="s">
        <v>1375</v>
      </c>
      <c r="F3" s="12" t="s">
        <v>1376</v>
      </c>
      <c r="G3" s="12"/>
    </row>
    <row r="4" spans="1:7">
      <c r="B4" t="s">
        <v>68</v>
      </c>
      <c r="C4">
        <v>15</v>
      </c>
      <c r="D4" t="s">
        <v>81</v>
      </c>
      <c r="F4" s="12" t="s">
        <v>55</v>
      </c>
      <c r="G4" s="12"/>
    </row>
    <row r="5" spans="1:7">
      <c r="B5" t="s">
        <v>91</v>
      </c>
      <c r="C5">
        <v>30</v>
      </c>
      <c r="F5" s="12" t="s">
        <v>70</v>
      </c>
      <c r="G5" s="12"/>
    </row>
    <row r="6" spans="1:7">
      <c r="B6" t="s">
        <v>40</v>
      </c>
      <c r="C6">
        <v>30</v>
      </c>
      <c r="F6" s="12" t="s">
        <v>1377</v>
      </c>
      <c r="G6" s="12"/>
    </row>
    <row r="7" spans="1:7">
      <c r="B7" t="s">
        <v>1378</v>
      </c>
      <c r="C7">
        <v>60</v>
      </c>
      <c r="F7" s="12" t="s">
        <v>155</v>
      </c>
      <c r="G7" s="12"/>
    </row>
    <row r="8" spans="1:7">
      <c r="B8" t="s">
        <v>1379</v>
      </c>
      <c r="C8">
        <v>20</v>
      </c>
      <c r="F8" s="12" t="s">
        <v>44</v>
      </c>
      <c r="G8" s="12"/>
    </row>
    <row r="9" spans="1:7">
      <c r="F9" s="12" t="s">
        <v>94</v>
      </c>
      <c r="G9" s="12"/>
    </row>
    <row r="10" spans="1:7">
      <c r="F10" s="12" t="s">
        <v>73</v>
      </c>
      <c r="G10" s="12"/>
    </row>
    <row r="11" spans="1:7">
      <c r="F11" s="12" t="s">
        <v>1380</v>
      </c>
      <c r="G11" s="12"/>
    </row>
    <row r="12" spans="1:7">
      <c r="F12" s="12" t="s">
        <v>217</v>
      </c>
      <c r="G12" s="12"/>
    </row>
    <row r="13" spans="1:7">
      <c r="F13" s="12" t="s">
        <v>37</v>
      </c>
      <c r="G13" s="12"/>
    </row>
    <row r="14" spans="1:7">
      <c r="F14" s="12" t="s">
        <v>97</v>
      </c>
      <c r="G14" s="12"/>
    </row>
    <row r="15" spans="1:7">
      <c r="F15" s="12" t="s">
        <v>1381</v>
      </c>
      <c r="G15" s="12"/>
    </row>
    <row r="16" spans="1:7">
      <c r="F16" s="12" t="s">
        <v>66</v>
      </c>
      <c r="G16" s="12"/>
    </row>
    <row r="17" spans="6:6">
      <c r="F17" s="12" t="s">
        <v>52</v>
      </c>
    </row>
    <row r="18" spans="6:6">
      <c r="F18" s="12" t="s">
        <v>61</v>
      </c>
    </row>
    <row r="19" spans="6:6">
      <c r="F19" s="12" t="s">
        <v>134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8"/>
  <sheetViews>
    <sheetView workbookViewId="0">
      <selection activeCell="A7" sqref="A7:B7"/>
    </sheetView>
  </sheetViews>
  <sheetFormatPr defaultRowHeight="14.45"/>
  <cols>
    <col min="1" max="1" width="29.28515625" customWidth="1"/>
  </cols>
  <sheetData>
    <row r="1" spans="1:2">
      <c r="A1" t="s">
        <v>29</v>
      </c>
      <c r="B1">
        <v>3</v>
      </c>
    </row>
    <row r="2" spans="1:2">
      <c r="A2" t="s">
        <v>46</v>
      </c>
      <c r="B2">
        <v>8</v>
      </c>
    </row>
    <row r="3" spans="1:2">
      <c r="A3" t="s">
        <v>68</v>
      </c>
      <c r="B3">
        <v>15</v>
      </c>
    </row>
    <row r="4" spans="1:2">
      <c r="A4" t="s">
        <v>83</v>
      </c>
      <c r="B4">
        <v>5</v>
      </c>
    </row>
    <row r="5" spans="1:2">
      <c r="A5" t="s">
        <v>91</v>
      </c>
      <c r="B5">
        <v>30</v>
      </c>
    </row>
    <row r="6" spans="1:2">
      <c r="A6" t="s">
        <v>40</v>
      </c>
      <c r="B6">
        <v>30</v>
      </c>
    </row>
    <row r="7" spans="1:2">
      <c r="A7" t="s">
        <v>1378</v>
      </c>
      <c r="B7">
        <v>60</v>
      </c>
    </row>
    <row r="8" spans="1:2">
      <c r="A8" t="s">
        <v>1379</v>
      </c>
      <c r="B8">
        <v>20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C6074334DBA01438FFEB76DE7B34ACD" ma:contentTypeVersion="21" ma:contentTypeDescription="Crie um novo documento." ma:contentTypeScope="" ma:versionID="bf7bb315d1adf653607be1325e540df8">
  <xsd:schema xmlns:xsd="http://www.w3.org/2001/XMLSchema" xmlns:xs="http://www.w3.org/2001/XMLSchema" xmlns:p="http://schemas.microsoft.com/office/2006/metadata/properties" xmlns:ns2="6457d4ee-61ba-4e19-954d-7de7b16bdb43" xmlns:ns3="7f80d57e-3643-4270-ae7d-d5164dc8a208" targetNamespace="http://schemas.microsoft.com/office/2006/metadata/properties" ma:root="true" ma:fieldsID="ceac0c04f37cf76f7460de42d10826a3" ns2:_="" ns3:_="">
    <xsd:import namespace="6457d4ee-61ba-4e19-954d-7de7b16bdb43"/>
    <xsd:import namespace="7f80d57e-3643-4270-ae7d-d5164dc8a20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_Flow_SignoffStatus" minOccurs="0"/>
                <xsd:element ref="ns3:MediaServiceLocation" minOccurs="0"/>
                <xsd:element ref="ns3:N_x00fa_mero" minOccurs="0"/>
                <xsd:element ref="ns3:MediaServiceBillingMetadata" minOccurs="0"/>
                <xsd:element ref="ns3:CategoriaRelatorio" minOccurs="0"/>
                <xsd:element ref="ns3: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57d4ee-61ba-4e19-954d-7de7b16bdb4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77537071-ad67-438e-b187-1c21a62d97e3}" ma:internalName="TaxCatchAll" ma:showField="CatchAllData" ma:web="6457d4ee-61ba-4e19-954d-7de7b16bdb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80d57e-3643-4270-ae7d-d5164dc8a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c3606611-8997-49f1-a9f7-b31f834fd5c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Flow_SignoffStatus" ma:index="22" nillable="true" ma:displayName="Status de liberação" ma:internalName="Status_x0020_de_x0020_libera_x00e7__x00e3_o">
      <xsd:simpleType>
        <xsd:restriction base="dms:Text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N_x00fa_mero" ma:index="24" nillable="true" ma:displayName="Número" ma:format="Dropdown" ma:internalName="N_x00fa_mero" ma:percentage="FALSE">
      <xsd:simpleType>
        <xsd:restriction base="dms:Number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  <xsd:element name="CategoriaRelatorio" ma:index="26" nillable="true" ma:displayName="CategoriaRelatorio" ma:format="Dropdown" ma:internalName="CategoriaRelatorio">
      <xsd:simpleType>
        <xsd:restriction base="dms:Choice">
          <xsd:enumeration value="DiarioObra"/>
        </xsd:restriction>
      </xsd:simpleType>
    </xsd:element>
    <xsd:element name="Data" ma:index="27" nillable="true" ma:displayName="Data" ma:format="DateOnly" ma:internalName="Data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ategoriaRelatorio xmlns="7f80d57e-3643-4270-ae7d-d5164dc8a208" xsi:nil="true"/>
    <Data xmlns="7f80d57e-3643-4270-ae7d-d5164dc8a208" xsi:nil="true"/>
    <N_x00fa_mero xmlns="7f80d57e-3643-4270-ae7d-d5164dc8a208" xsi:nil="true"/>
    <_Flow_SignoffStatus xmlns="7f80d57e-3643-4270-ae7d-d5164dc8a208" xsi:nil="true"/>
    <lcf76f155ced4ddcb4097134ff3c332f xmlns="7f80d57e-3643-4270-ae7d-d5164dc8a208">
      <Terms xmlns="http://schemas.microsoft.com/office/infopath/2007/PartnerControls"/>
    </lcf76f155ced4ddcb4097134ff3c332f>
    <TaxCatchAll xmlns="6457d4ee-61ba-4e19-954d-7de7b16bdb4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F75C912-3B59-4E63-A464-A45B67528511}"/>
</file>

<file path=customXml/itemProps2.xml><?xml version="1.0" encoding="utf-8"?>
<ds:datastoreItem xmlns:ds="http://schemas.openxmlformats.org/officeDocument/2006/customXml" ds:itemID="{B087C2F3-4A3D-44CA-957B-DF509CEFA4EE}"/>
</file>

<file path=customXml/itemProps3.xml><?xml version="1.0" encoding="utf-8"?>
<ds:datastoreItem xmlns:ds="http://schemas.openxmlformats.org/officeDocument/2006/customXml" ds:itemID="{23B5A8CE-B674-41C8-BE74-B944ECDB4E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Michel L. S. Bernardes</cp:lastModifiedBy>
  <cp:revision/>
  <dcterms:created xsi:type="dcterms:W3CDTF">2026-04-08T12:28:31Z</dcterms:created>
  <dcterms:modified xsi:type="dcterms:W3CDTF">2026-07-30T12:23:30Z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0x0101004C6074334DBA01438FFEB76DE7B34ACD</vt:lpwstr>
  </property>
  <property fmtid="{D5CDD505-2E9C-101B-9397-08002B2CF9AE}" pid="3" name="MediaServiceImageTags">
    <vt:lpwstr/>
  </property>
</Properties>
</file>